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MapUp-DA-Assessment\your_cloned_repo\submissions\"/>
    </mc:Choice>
  </mc:AlternateContent>
  <xr:revisionPtr revIDLastSave="0" documentId="13_ncr:1_{842F2746-3C48-4BA9-8CFF-40D23BADA0FA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2" sheetId="18" r:id="rId3"/>
    <sheet name="Task_1" sheetId="15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D22" i="19"/>
  <c r="D13" i="19"/>
  <c r="D14" i="19"/>
  <c r="D15" i="19"/>
  <c r="D16" i="19"/>
  <c r="D17" i="19"/>
  <c r="D18" i="19"/>
  <c r="D19" i="19"/>
  <c r="D20" i="19"/>
  <c r="D21" i="19"/>
  <c r="D12" i="19"/>
  <c r="C30" i="18"/>
  <c r="D30" i="18"/>
  <c r="E30" i="18"/>
  <c r="F30" i="18"/>
  <c r="C29" i="18"/>
  <c r="D29" i="18"/>
  <c r="E29" i="18"/>
  <c r="F29" i="18"/>
  <c r="B30" i="18"/>
  <c r="B29" i="18"/>
  <c r="C28" i="18"/>
  <c r="D28" i="18"/>
  <c r="E28" i="18"/>
  <c r="F28" i="18"/>
  <c r="B28" i="18"/>
  <c r="B7" i="18"/>
  <c r="B8" i="18"/>
  <c r="B9" i="18"/>
  <c r="B10" i="18"/>
  <c r="B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5" i="15"/>
</calcChain>
</file>

<file path=xl/sharedStrings.xml><?xml version="1.0" encoding="utf-8"?>
<sst xmlns="http://schemas.openxmlformats.org/spreadsheetml/2006/main" count="409" uniqueCount="186">
  <si>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</si>
  <si>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</si>
  <si>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</si>
  <si>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</si>
  <si>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</si>
  <si>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</si>
  <si>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</si>
  <si>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</si>
  <si>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</si>
  <si>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</si>
  <si>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</si>
  <si>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</si>
  <si>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</si>
  <si>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</si>
  <si>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</si>
  <si>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</si>
  <si>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</si>
  <si>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</si>
  <si>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</si>
  <si>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</si>
  <si>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</si>
  <si>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</si>
  <si>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</si>
  <si>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</si>
  <si>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</si>
  <si>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</si>
  <si>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</si>
  <si>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</si>
  <si>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</si>
  <si>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</si>
  <si>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</si>
  <si>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</si>
  <si>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</si>
  <si>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</si>
  <si>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</si>
  <si>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</si>
  <si>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</si>
  <si>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</si>
  <si>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</si>
  <si>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</si>
  <si>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</si>
  <si>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</si>
  <si>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</si>
  <si>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</si>
  <si>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</si>
  <si>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</si>
  <si>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</si>
  <si>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</si>
  <si>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</si>
  <si>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</si>
  <si>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</si>
  <si>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</si>
  <si>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</si>
  <si>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</si>
  <si>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</si>
  <si>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</si>
  <si>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</si>
  <si>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</si>
  <si>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</si>
  <si>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</si>
  <si>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</si>
  <si>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</si>
  <si>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</si>
  <si>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</si>
  <si>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</si>
  <si>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</si>
  <si>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</si>
  <si>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</si>
  <si>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</si>
  <si>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</si>
  <si>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</si>
  <si>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</si>
  <si>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</si>
  <si>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</si>
  <si>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</si>
  <si>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</si>
  <si>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</si>
  <si>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</si>
  <si>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</si>
  <si>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</si>
  <si>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</si>
  <si>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</si>
  <si>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</si>
  <si>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</si>
  <si>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</si>
  <si>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</si>
  <si>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</si>
  <si>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</si>
  <si>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</si>
  <si>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</si>
  <si>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</si>
  <si>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</si>
  <si>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</si>
  <si>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</si>
  <si>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</si>
  <si>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</si>
  <si>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</si>
  <si>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</si>
  <si>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</si>
  <si>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</si>
  <si>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</si>
  <si>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</si>
  <si>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</si>
  <si>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</si>
  <si>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</si>
  <si>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</si>
  <si>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</si>
  <si>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</si>
  <si>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</si>
  <si>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</si>
  <si>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</si>
  <si>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</si>
  <si>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</si>
  <si>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</si>
  <si>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</si>
  <si>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</si>
  <si>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</si>
  <si>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</si>
  <si>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</si>
  <si>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</si>
  <si>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</si>
  <si>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</si>
  <si>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</si>
  <si>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</si>
  <si>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</si>
  <si>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</si>
  <si>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</si>
  <si>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</si>
  <si>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</si>
  <si>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</si>
  <si>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</si>
  <si>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</si>
  <si>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</si>
  <si>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</si>
  <si>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</si>
  <si>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</si>
  <si>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</si>
  <si>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</si>
  <si>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</si>
  <si>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</si>
  <si>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</si>
  <si>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</si>
  <si>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</si>
  <si>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</si>
  <si>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</si>
  <si>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</si>
  <si>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</si>
  <si>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</si>
  <si>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</si>
  <si>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</si>
  <si>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</si>
  <si>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</si>
  <si>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</si>
  <si>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</si>
  <si>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</si>
  <si>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</si>
  <si>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</si>
  <si>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</si>
  <si>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</si>
  <si>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</si>
  <si>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</si>
  <si>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</si>
  <si>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</si>
  <si>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</si>
  <si>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</si>
  <si>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</si>
  <si>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</si>
  <si>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</si>
  <si>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</si>
  <si>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</si>
  <si>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</si>
  <si>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</si>
  <si>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</si>
  <si>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</si>
  <si>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</si>
  <si>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</si>
  <si>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r>
      <rPr>
        <sz val="10"/>
        <color rgb="FF000000"/>
        <rFont val="Calibri Light"/>
        <family val="2"/>
        <scheme val="major"/>
      </rPr>
      <t>View -&gt;</t>
    </r>
    <r>
      <rPr>
        <sz val="10"/>
        <color rgb="FF000000"/>
        <rFont val="Calibri"/>
        <family val="2"/>
        <scheme val="minor"/>
      </rPr>
      <t xml:space="preserve"> Freeze Panes -&gt; Freeze Top Row.</t>
    </r>
  </si>
  <si>
    <t>Go to Format Cells, then select Date or custom and use the format :  'YYYY-MM-DD'</t>
  </si>
  <si>
    <t>by using  conditional Formatting -&gt; highlight cell rules -&gt; choose Equal to.For -1, set the format to red. same for 0, set the format to green.</t>
  </si>
  <si>
    <t>Go to -&gt; Data -&gt;Text to columns-&gt; select delimeted -&gt;next -&gt; Other(-)-&gt; next -&gt; choose your destination where you want the new columns-&gt; Finish</t>
  </si>
  <si>
    <r>
      <t xml:space="preserve">Using </t>
    </r>
    <r>
      <rPr>
        <b/>
        <sz val="10"/>
        <color rgb="FF000000"/>
        <rFont val="Calibri"/>
        <family val="2"/>
        <scheme val="minor"/>
      </rPr>
      <t>Text to Columns</t>
    </r>
    <r>
      <rPr>
        <sz val="10"/>
        <color rgb="FF000000"/>
        <rFont val="Calibri"/>
        <family val="2"/>
        <scheme val="minor"/>
      </rPr>
      <t xml:space="preserve"> in Excel to split text based on a specific delimiter (like  hyphen(-)) through a wizard that guides step-by-step. Selecting "Delimited," specify the delimiter, choose the destination for new columns, and finish the process.</t>
    </r>
  </si>
  <si>
    <r>
      <t xml:space="preserve">formula used =&gt; </t>
    </r>
    <r>
      <rPr>
        <b/>
        <sz val="11"/>
        <color rgb="FF000000"/>
        <rFont val="Calibri"/>
        <family val="2"/>
        <scheme val="minor"/>
      </rPr>
      <t>=SUM(IFERROR( Range, 20))</t>
    </r>
  </si>
  <si>
    <t>This formula replaces all #N/A values with 20 using IFERROR, then sums the entire sales column using SUM. It ensures error values are replaced and the total is calculated correctly.</t>
  </si>
  <si>
    <t>`</t>
  </si>
  <si>
    <t>formula used -&gt; =INDEX(Table_A, MATCH(Name_1, Table_B[ID], 0), MATCH(Name_2, Table_B[ID], 0))</t>
  </si>
  <si>
    <r>
      <t xml:space="preserve">Match the IDs from </t>
    </r>
    <r>
      <rPr>
        <b/>
        <sz val="10"/>
        <color rgb="FF000000"/>
        <rFont val="Calibri"/>
        <family val="2"/>
        <scheme val="minor"/>
      </rPr>
      <t>Table_C</t>
    </r>
    <r>
      <rPr>
        <sz val="10"/>
        <color rgb="FF000000"/>
        <rFont val="Calibri"/>
        <family val="2"/>
        <scheme val="minor"/>
      </rPr>
      <t xml:space="preserve"> (Name_1 and Name_2) with the ID column in </t>
    </r>
    <r>
      <rPr>
        <b/>
        <sz val="10"/>
        <color rgb="FF000000"/>
        <rFont val="Calibri"/>
        <family val="2"/>
        <scheme val="minor"/>
      </rPr>
      <t>Table_B</t>
    </r>
    <r>
      <rPr>
        <sz val="10"/>
        <color rgb="FF000000"/>
        <rFont val="Calibri"/>
        <family val="2"/>
        <scheme val="minor"/>
      </rPr>
      <t xml:space="preserve"> to find the correct row and column in </t>
    </r>
    <r>
      <rPr>
        <b/>
        <sz val="10"/>
        <color rgb="FF000000"/>
        <rFont val="Calibri"/>
        <family val="2"/>
        <scheme val="minor"/>
      </rPr>
      <t>Table_A</t>
    </r>
    <r>
      <rPr>
        <sz val="10"/>
        <color rgb="FF000000"/>
        <rFont val="Calibri"/>
        <family val="2"/>
        <scheme val="minor"/>
      </rPr>
      <t xml:space="preserve">. Then, pull the value from that location in </t>
    </r>
    <r>
      <rPr>
        <b/>
        <sz val="10"/>
        <color rgb="FF000000"/>
        <rFont val="Calibri"/>
        <family val="2"/>
        <scheme val="minor"/>
      </rPr>
      <t>Table_A</t>
    </r>
    <r>
      <rPr>
        <sz val="10"/>
        <color rgb="FF000000"/>
        <rFont val="Calibri"/>
        <family val="2"/>
        <scheme val="minor"/>
      </rPr>
      <t xml:space="preserve">. This gives the corresponding "value" for each pair of IDs in </t>
    </r>
    <r>
      <rPr>
        <b/>
        <sz val="10"/>
        <color rgb="FF000000"/>
        <rFont val="Calibri"/>
        <family val="2"/>
        <scheme val="minor"/>
      </rPr>
      <t>Table_C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</si>
</sst>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Calibri Light"/>
      <family val="2"/>
      <scheme val="major"/>
    </font>
    <font>
      <sz val="10"/>
      <color rgb="FF000000"/>
      <name val="Times New Roman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  <xf numFmtId="0" fontId="8" fillId="0" borderId="0" xfId="0" applyFont="1" applyAlignment="1">
      <alignment wrapText="1"/>
    </xf>
    <xf numFmtId="0" fontId="2" fillId="0" borderId="0" xfId="0" applyFont="1"/>
    <xf numFmtId="0" fontId="19" fillId="0" borderId="0" xfId="0" applyFont="1"/>
    <xf numFmtId="0" fontId="15" fillId="0" borderId="0" xfId="0" applyFont="1" applyAlignment="1">
      <alignment horizontal="center"/>
    </xf>
    <xf numFmtId="0" fontId="3" fillId="0" borderId="0" xfId="0" quotePrefix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107</v>
      </c>
    </row>
    <row r="2" spans="1:3" x14ac:dyDescent="0.2">
      <c r="A2" s="2" t="s">
        <v>108</v>
      </c>
    </row>
    <row r="3" spans="1:3" x14ac:dyDescent="0.2">
      <c r="A3" s="2" t="s">
        <v>109</v>
      </c>
    </row>
    <row r="4" spans="1:3" ht="15" x14ac:dyDescent="0.25">
      <c r="A4" s="2" t="s">
        <v>175</v>
      </c>
      <c r="C4" s="1"/>
    </row>
    <row r="5" spans="1:3" x14ac:dyDescent="0.2">
      <c r="A5" s="2" t="s">
        <v>150</v>
      </c>
    </row>
    <row r="8" spans="1:3" x14ac:dyDescent="0.2">
      <c r="A8" s="2" t="s">
        <v>171</v>
      </c>
    </row>
    <row r="9" spans="1:3" x14ac:dyDescent="0.2">
      <c r="A9" s="36" t="s">
        <v>169</v>
      </c>
      <c r="B9" s="26" t="s">
        <v>167</v>
      </c>
    </row>
    <row r="10" spans="1:3" x14ac:dyDescent="0.2">
      <c r="A10" s="35" t="s">
        <v>170</v>
      </c>
      <c r="B10" s="37">
        <v>25</v>
      </c>
    </row>
    <row r="11" spans="1:3" x14ac:dyDescent="0.2">
      <c r="A11" s="35" t="s">
        <v>54</v>
      </c>
      <c r="B11" s="37">
        <v>30</v>
      </c>
    </row>
    <row r="12" spans="1:3" x14ac:dyDescent="0.2">
      <c r="A12" s="35" t="s">
        <v>55</v>
      </c>
      <c r="B12" s="37">
        <v>10</v>
      </c>
    </row>
    <row r="13" spans="1:3" x14ac:dyDescent="0.2">
      <c r="A13" s="35" t="s">
        <v>84</v>
      </c>
      <c r="B13" s="37">
        <v>20</v>
      </c>
    </row>
    <row r="14" spans="1:3" x14ac:dyDescent="0.2">
      <c r="A14" s="35" t="s">
        <v>97</v>
      </c>
      <c r="B14" s="37">
        <v>40</v>
      </c>
    </row>
    <row r="15" spans="1:3" x14ac:dyDescent="0.2">
      <c r="A15" s="38" t="s">
        <v>168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2850"/>
  <sheetViews>
    <sheetView zoomScaleNormal="100" workbookViewId="0">
      <pane ySplit="1" topLeftCell="A2" activePane="bottomLeft" state="frozen"/>
      <selection pane="bottomLeft" activeCell="Z5" sqref="Z5"/>
    </sheetView>
  </sheetViews>
  <sheetFormatPr defaultColWidth="9" defaultRowHeight="15" x14ac:dyDescent="0.25"/>
  <cols>
    <col min="1" max="1" width="20.83203125" style="1" bestFit="1" customWidth="1"/>
    <col min="2" max="2" width="7" style="1" bestFit="1" customWidth="1"/>
    <col min="3" max="3" width="10.6640625" style="1" bestFit="1" customWidth="1"/>
    <col min="4" max="4" width="11.83203125" style="24" bestFit="1" customWidth="1"/>
    <col min="5" max="5" width="10" style="1" bestFit="1" customWidth="1"/>
    <col min="6" max="6" width="11.1640625" style="24" bestFit="1" customWidth="1"/>
    <col min="7" max="9" width="5.83203125" style="24" bestFit="1" customWidth="1"/>
    <col min="10" max="12" width="7.83203125" style="24" bestFit="1" customWidth="1"/>
    <col min="13" max="15" width="7" style="24" bestFit="1" customWidth="1"/>
    <col min="16" max="18" width="5.83203125" style="24" bestFit="1" customWidth="1"/>
    <col min="19" max="20" width="7.5" style="24" bestFit="1" customWidth="1"/>
    <col min="21" max="23" width="6.1640625" style="24" bestFit="1" customWidth="1"/>
    <col min="24" max="24" width="12.5" style="46" bestFit="1" customWidth="1"/>
    <col min="25" max="16384" width="9" style="1"/>
  </cols>
  <sheetData>
    <row r="1" spans="1:24" s="3" customFormat="1" ht="14.85" customHeight="1" x14ac:dyDescent="0.25">
      <c r="A1" s="27" t="s">
        <v>63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78</v>
      </c>
      <c r="H1" s="29" t="s">
        <v>64</v>
      </c>
      <c r="I1" s="29" t="s">
        <v>65</v>
      </c>
      <c r="J1" s="30" t="s">
        <v>66</v>
      </c>
      <c r="K1" s="30" t="s">
        <v>67</v>
      </c>
      <c r="L1" s="30" t="s">
        <v>68</v>
      </c>
      <c r="M1" s="29" t="s">
        <v>69</v>
      </c>
      <c r="N1" s="29" t="s">
        <v>70</v>
      </c>
      <c r="O1" s="29" t="s">
        <v>71</v>
      </c>
      <c r="P1" s="30" t="s">
        <v>72</v>
      </c>
      <c r="Q1" s="30" t="s">
        <v>73</v>
      </c>
      <c r="R1" s="30" t="s">
        <v>74</v>
      </c>
      <c r="S1" s="29" t="s">
        <v>79</v>
      </c>
      <c r="T1" s="29" t="s">
        <v>75</v>
      </c>
      <c r="U1" s="30" t="s">
        <v>80</v>
      </c>
      <c r="V1" s="30" t="s">
        <v>76</v>
      </c>
      <c r="W1" s="30" t="s">
        <v>77</v>
      </c>
      <c r="X1" s="45" t="s">
        <v>104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56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57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4" x14ac:dyDescent="0.25"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4" x14ac:dyDescent="0.25"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4" x14ac:dyDescent="0.25"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4" x14ac:dyDescent="0.25"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4" x14ac:dyDescent="0.25"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4" x14ac:dyDescent="0.25"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4" x14ac:dyDescent="0.25"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7:23" x14ac:dyDescent="0.25"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7:23" x14ac:dyDescent="0.25"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7:23" x14ac:dyDescent="0.25"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7:23" x14ac:dyDescent="0.25"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7:23" x14ac:dyDescent="0.25"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7:23" x14ac:dyDescent="0.25"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7:23" x14ac:dyDescent="0.25"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7:23" x14ac:dyDescent="0.25"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7:23" x14ac:dyDescent="0.25"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7:23" x14ac:dyDescent="0.25"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7:23" x14ac:dyDescent="0.25"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7:23" x14ac:dyDescent="0.25"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7:23" x14ac:dyDescent="0.25"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7:23" x14ac:dyDescent="0.25"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7:23" x14ac:dyDescent="0.25"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7:23" x14ac:dyDescent="0.25"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7:23" x14ac:dyDescent="0.25"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7:23" x14ac:dyDescent="0.25"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7:23" x14ac:dyDescent="0.25"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7:23" x14ac:dyDescent="0.25"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7:23" x14ac:dyDescent="0.25"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7:23" x14ac:dyDescent="0.25"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7:23" x14ac:dyDescent="0.25"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7:23" x14ac:dyDescent="0.25"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7:23" x14ac:dyDescent="0.25"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7:23" x14ac:dyDescent="0.25"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7:23" x14ac:dyDescent="0.25"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7:23" x14ac:dyDescent="0.25"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7:23" x14ac:dyDescent="0.25"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7:23" x14ac:dyDescent="0.25"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7:23" x14ac:dyDescent="0.25"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7:23" x14ac:dyDescent="0.25"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7:23" x14ac:dyDescent="0.25"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7:23" x14ac:dyDescent="0.25"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7:23" x14ac:dyDescent="0.25"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7:23" x14ac:dyDescent="0.25"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7:23" x14ac:dyDescent="0.25"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7:23" x14ac:dyDescent="0.25"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7:23" x14ac:dyDescent="0.25"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7:23" x14ac:dyDescent="0.25"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7:23" x14ac:dyDescent="0.25"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7:23" x14ac:dyDescent="0.25"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7:23" x14ac:dyDescent="0.25"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7:23" x14ac:dyDescent="0.25"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7:23" x14ac:dyDescent="0.25"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7:23" x14ac:dyDescent="0.25"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7:23" x14ac:dyDescent="0.25"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7:23" x14ac:dyDescent="0.25"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7:23" x14ac:dyDescent="0.25"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7:23" x14ac:dyDescent="0.25"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7:23" x14ac:dyDescent="0.25"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7:23" x14ac:dyDescent="0.25"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7:23" x14ac:dyDescent="0.25"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7:23" x14ac:dyDescent="0.25"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7:23" x14ac:dyDescent="0.25"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7:23" x14ac:dyDescent="0.25"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7:23" x14ac:dyDescent="0.25"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7:23" x14ac:dyDescent="0.25"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7:23" x14ac:dyDescent="0.25"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7:23" x14ac:dyDescent="0.25"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7:23" x14ac:dyDescent="0.25"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7:23" x14ac:dyDescent="0.25"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7:23" x14ac:dyDescent="0.25"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7:23" x14ac:dyDescent="0.25"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7:23" x14ac:dyDescent="0.25"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7:23" x14ac:dyDescent="0.25"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7:23" x14ac:dyDescent="0.25"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7:23" x14ac:dyDescent="0.25"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7:23" x14ac:dyDescent="0.25"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7:23" x14ac:dyDescent="0.25"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7:23" x14ac:dyDescent="0.25"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7:23" x14ac:dyDescent="0.25"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7:23" x14ac:dyDescent="0.25"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7:23" x14ac:dyDescent="0.25"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7:23" x14ac:dyDescent="0.25"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7:23" x14ac:dyDescent="0.25"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7:23" x14ac:dyDescent="0.25"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7:23" x14ac:dyDescent="0.25"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7:23" x14ac:dyDescent="0.25"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7:23" x14ac:dyDescent="0.25"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7:23" x14ac:dyDescent="0.25"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7:23" x14ac:dyDescent="0.25"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7:23" x14ac:dyDescent="0.25"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7:23" x14ac:dyDescent="0.25"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7:23" x14ac:dyDescent="0.25"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7:23" x14ac:dyDescent="0.25"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7:23" x14ac:dyDescent="0.25"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7:23" x14ac:dyDescent="0.25"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7:23" x14ac:dyDescent="0.25"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7:23" x14ac:dyDescent="0.25"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7:23" x14ac:dyDescent="0.25"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7:23" x14ac:dyDescent="0.25"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7:23" x14ac:dyDescent="0.25"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  <row r="142" spans="7:23" x14ac:dyDescent="0.25"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</row>
    <row r="143" spans="7:23" x14ac:dyDescent="0.25"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7:23" x14ac:dyDescent="0.25"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7:23" x14ac:dyDescent="0.25"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7:23" x14ac:dyDescent="0.25"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7:23" x14ac:dyDescent="0.25"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7:23" x14ac:dyDescent="0.25"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7:23" x14ac:dyDescent="0.25"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</row>
    <row r="150" spans="7:23" x14ac:dyDescent="0.25"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</row>
    <row r="151" spans="7:23" x14ac:dyDescent="0.25"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</row>
    <row r="152" spans="7:23" x14ac:dyDescent="0.25"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7:23" x14ac:dyDescent="0.25"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7:23" x14ac:dyDescent="0.25"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7:23" x14ac:dyDescent="0.25"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7:23" x14ac:dyDescent="0.25"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7:23" x14ac:dyDescent="0.25"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7:23" x14ac:dyDescent="0.25"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7:23" x14ac:dyDescent="0.25"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7:23" x14ac:dyDescent="0.25"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7:23" x14ac:dyDescent="0.25"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7:23" x14ac:dyDescent="0.25"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7:23" x14ac:dyDescent="0.25"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7:23" x14ac:dyDescent="0.25"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</row>
    <row r="165" spans="7:23" x14ac:dyDescent="0.25"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</row>
    <row r="166" spans="7:23" x14ac:dyDescent="0.25"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</row>
    <row r="167" spans="7:23" x14ac:dyDescent="0.25"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7:23" x14ac:dyDescent="0.25"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7:23" x14ac:dyDescent="0.25"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7:23" x14ac:dyDescent="0.25"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7:23" x14ac:dyDescent="0.25"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7:23" x14ac:dyDescent="0.25"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7:23" x14ac:dyDescent="0.25"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</row>
    <row r="174" spans="7:23" x14ac:dyDescent="0.25"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</row>
    <row r="175" spans="7:23" x14ac:dyDescent="0.25"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</row>
    <row r="176" spans="7:23" x14ac:dyDescent="0.25"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7:23" x14ac:dyDescent="0.25"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7:23" x14ac:dyDescent="0.25"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7:23" x14ac:dyDescent="0.25"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7:23" x14ac:dyDescent="0.25"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7:23" x14ac:dyDescent="0.25"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7:23" x14ac:dyDescent="0.25"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7:23" x14ac:dyDescent="0.25"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7:23" x14ac:dyDescent="0.25"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7:23" x14ac:dyDescent="0.25"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7:23" x14ac:dyDescent="0.25"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7:23" x14ac:dyDescent="0.25"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7:23" x14ac:dyDescent="0.25"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</row>
    <row r="189" spans="7:23" x14ac:dyDescent="0.25"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</row>
    <row r="190" spans="7:23" x14ac:dyDescent="0.25"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</row>
    <row r="191" spans="7:23" x14ac:dyDescent="0.25"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7:23" x14ac:dyDescent="0.25"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7:23" x14ac:dyDescent="0.25"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7:23" x14ac:dyDescent="0.25"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7:23" x14ac:dyDescent="0.25"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7:23" x14ac:dyDescent="0.25"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7:23" x14ac:dyDescent="0.25"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</row>
    <row r="198" spans="7:23" x14ac:dyDescent="0.25"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</row>
    <row r="199" spans="7:23" x14ac:dyDescent="0.25"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</row>
    <row r="200" spans="7:23" x14ac:dyDescent="0.25"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7:23" x14ac:dyDescent="0.25"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7:23" x14ac:dyDescent="0.25"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7:23" x14ac:dyDescent="0.25"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7:23" x14ac:dyDescent="0.25"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7:23" x14ac:dyDescent="0.25"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7:23" x14ac:dyDescent="0.25"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7:23" x14ac:dyDescent="0.25"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7:23" x14ac:dyDescent="0.25"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7:23" x14ac:dyDescent="0.25"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7:23" x14ac:dyDescent="0.25"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7:23" x14ac:dyDescent="0.25"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7:23" x14ac:dyDescent="0.25"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</row>
    <row r="213" spans="7:23" x14ac:dyDescent="0.25"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</row>
    <row r="214" spans="7:23" x14ac:dyDescent="0.25"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</row>
    <row r="215" spans="7:23" x14ac:dyDescent="0.25"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7:23" x14ac:dyDescent="0.25"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7:23" x14ac:dyDescent="0.25"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7:23" x14ac:dyDescent="0.25"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7:23" x14ac:dyDescent="0.25"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7:23" x14ac:dyDescent="0.25"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7:23" x14ac:dyDescent="0.25"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</row>
    <row r="222" spans="7:23" x14ac:dyDescent="0.25"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</row>
    <row r="223" spans="7:23" x14ac:dyDescent="0.25"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</row>
    <row r="224" spans="7:23" x14ac:dyDescent="0.25"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7:23" x14ac:dyDescent="0.25"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7:23" x14ac:dyDescent="0.25"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7:23" x14ac:dyDescent="0.25"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7:23" x14ac:dyDescent="0.25"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7:23" x14ac:dyDescent="0.25"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7:23" x14ac:dyDescent="0.25"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7:23" x14ac:dyDescent="0.25"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7:23" x14ac:dyDescent="0.25"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7:23" x14ac:dyDescent="0.25"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7:23" x14ac:dyDescent="0.25"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7:23" x14ac:dyDescent="0.25"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7:23" x14ac:dyDescent="0.25"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</row>
    <row r="237" spans="7:23" x14ac:dyDescent="0.25"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</row>
    <row r="238" spans="7:23" x14ac:dyDescent="0.25"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</row>
    <row r="239" spans="7:23" x14ac:dyDescent="0.25"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</row>
    <row r="240" spans="7:23" x14ac:dyDescent="0.25"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</row>
    <row r="241" spans="7:23" x14ac:dyDescent="0.25"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</row>
    <row r="242" spans="7:23" x14ac:dyDescent="0.25"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</row>
    <row r="243" spans="7:23" x14ac:dyDescent="0.25"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</row>
    <row r="244" spans="7:23" x14ac:dyDescent="0.25"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</row>
    <row r="245" spans="7:23" x14ac:dyDescent="0.25"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</row>
    <row r="246" spans="7:23" x14ac:dyDescent="0.25"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</row>
    <row r="247" spans="7:23" x14ac:dyDescent="0.25"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</row>
    <row r="248" spans="7:23" x14ac:dyDescent="0.25"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</row>
    <row r="249" spans="7:23" x14ac:dyDescent="0.25"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</row>
    <row r="250" spans="7:23" x14ac:dyDescent="0.25"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</row>
    <row r="251" spans="7:23" x14ac:dyDescent="0.25"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</row>
    <row r="252" spans="7:23" x14ac:dyDescent="0.25"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</row>
    <row r="253" spans="7:23" x14ac:dyDescent="0.25"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</row>
    <row r="254" spans="7:23" x14ac:dyDescent="0.25"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</row>
    <row r="255" spans="7:23" x14ac:dyDescent="0.25"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</row>
    <row r="256" spans="7:23" x14ac:dyDescent="0.25"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</row>
    <row r="257" spans="7:23" x14ac:dyDescent="0.25"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</row>
    <row r="258" spans="7:23" x14ac:dyDescent="0.25"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</row>
    <row r="259" spans="7:23" x14ac:dyDescent="0.25"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</row>
    <row r="260" spans="7:23" x14ac:dyDescent="0.25"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</row>
    <row r="261" spans="7:23" x14ac:dyDescent="0.25"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</row>
    <row r="262" spans="7:23" x14ac:dyDescent="0.25"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</row>
    <row r="263" spans="7:23" x14ac:dyDescent="0.25"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</row>
    <row r="264" spans="7:23" x14ac:dyDescent="0.25"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</row>
    <row r="265" spans="7:23" x14ac:dyDescent="0.25"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</row>
    <row r="266" spans="7:23" x14ac:dyDescent="0.25"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</row>
    <row r="267" spans="7:23" x14ac:dyDescent="0.25"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</row>
    <row r="268" spans="7:23" x14ac:dyDescent="0.25"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</row>
    <row r="269" spans="7:23" x14ac:dyDescent="0.25"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</row>
    <row r="270" spans="7:23" x14ac:dyDescent="0.25"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</row>
    <row r="271" spans="7:23" x14ac:dyDescent="0.25"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</row>
    <row r="272" spans="7:23" x14ac:dyDescent="0.25"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</row>
    <row r="273" spans="7:23" x14ac:dyDescent="0.25"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</row>
    <row r="274" spans="7:23" x14ac:dyDescent="0.25"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</row>
    <row r="275" spans="7:23" x14ac:dyDescent="0.25"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</row>
    <row r="276" spans="7:23" x14ac:dyDescent="0.25"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</row>
    <row r="277" spans="7:23" x14ac:dyDescent="0.25"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</row>
    <row r="278" spans="7:23" x14ac:dyDescent="0.25"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</row>
    <row r="279" spans="7:23" x14ac:dyDescent="0.25"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</row>
    <row r="280" spans="7:23" x14ac:dyDescent="0.25"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</row>
    <row r="281" spans="7:23" x14ac:dyDescent="0.25"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</row>
    <row r="282" spans="7:23" x14ac:dyDescent="0.25"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</row>
    <row r="283" spans="7:23" x14ac:dyDescent="0.25"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</row>
    <row r="284" spans="7:23" x14ac:dyDescent="0.25"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</row>
    <row r="285" spans="7:23" x14ac:dyDescent="0.25"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</row>
    <row r="286" spans="7:23" x14ac:dyDescent="0.25"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</row>
    <row r="287" spans="7:23" x14ac:dyDescent="0.25"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</row>
    <row r="288" spans="7:23" x14ac:dyDescent="0.25"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</row>
    <row r="289" spans="7:23" x14ac:dyDescent="0.25"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</row>
    <row r="290" spans="7:23" x14ac:dyDescent="0.25"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</row>
    <row r="291" spans="7:23" x14ac:dyDescent="0.25"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</row>
    <row r="292" spans="7:23" x14ac:dyDescent="0.25"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</row>
    <row r="293" spans="7:23" x14ac:dyDescent="0.25"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</row>
    <row r="294" spans="7:23" x14ac:dyDescent="0.25"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</row>
    <row r="295" spans="7:23" x14ac:dyDescent="0.25"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</row>
    <row r="296" spans="7:23" x14ac:dyDescent="0.25"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</row>
    <row r="297" spans="7:23" x14ac:dyDescent="0.25"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</row>
    <row r="298" spans="7:23" x14ac:dyDescent="0.25"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</row>
    <row r="299" spans="7:23" x14ac:dyDescent="0.25"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</row>
    <row r="300" spans="7:23" x14ac:dyDescent="0.25"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</row>
    <row r="301" spans="7:23" x14ac:dyDescent="0.25"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</row>
    <row r="302" spans="7:23" x14ac:dyDescent="0.25"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</row>
    <row r="303" spans="7:23" x14ac:dyDescent="0.25"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</row>
    <row r="304" spans="7:23" x14ac:dyDescent="0.25"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</row>
    <row r="305" spans="7:23" x14ac:dyDescent="0.25"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</row>
    <row r="306" spans="7:23" x14ac:dyDescent="0.25"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</row>
    <row r="307" spans="7:23" x14ac:dyDescent="0.25"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</row>
    <row r="308" spans="7:23" x14ac:dyDescent="0.25"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</row>
    <row r="309" spans="7:23" x14ac:dyDescent="0.25"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</row>
    <row r="310" spans="7:23" x14ac:dyDescent="0.25"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</row>
    <row r="311" spans="7:23" x14ac:dyDescent="0.25"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</row>
    <row r="312" spans="7:23" x14ac:dyDescent="0.25"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</row>
    <row r="313" spans="7:23" x14ac:dyDescent="0.25"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</row>
    <row r="314" spans="7:23" x14ac:dyDescent="0.25"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</row>
    <row r="315" spans="7:23" x14ac:dyDescent="0.25"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</row>
    <row r="316" spans="7:23" x14ac:dyDescent="0.25"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</row>
    <row r="317" spans="7:23" x14ac:dyDescent="0.25"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</row>
    <row r="318" spans="7:23" x14ac:dyDescent="0.25"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</row>
    <row r="319" spans="7:23" x14ac:dyDescent="0.25"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</row>
    <row r="320" spans="7:23" x14ac:dyDescent="0.25"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</row>
    <row r="321" spans="7:23" x14ac:dyDescent="0.25"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</row>
    <row r="322" spans="7:23" x14ac:dyDescent="0.25"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</row>
    <row r="323" spans="7:23" x14ac:dyDescent="0.25"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</row>
    <row r="324" spans="7:23" x14ac:dyDescent="0.25"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</row>
    <row r="325" spans="7:23" x14ac:dyDescent="0.25"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</row>
    <row r="326" spans="7:23" x14ac:dyDescent="0.25"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</row>
    <row r="327" spans="7:23" x14ac:dyDescent="0.25"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</row>
    <row r="328" spans="7:23" x14ac:dyDescent="0.25"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</row>
    <row r="329" spans="7:23" x14ac:dyDescent="0.25"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</row>
    <row r="330" spans="7:23" x14ac:dyDescent="0.25"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</row>
    <row r="331" spans="7:23" x14ac:dyDescent="0.25"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</row>
    <row r="332" spans="7:23" x14ac:dyDescent="0.25"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</row>
    <row r="333" spans="7:23" x14ac:dyDescent="0.25"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</row>
    <row r="334" spans="7:23" x14ac:dyDescent="0.25"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</row>
    <row r="335" spans="7:23" x14ac:dyDescent="0.25"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</row>
    <row r="336" spans="7:23" x14ac:dyDescent="0.25"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</row>
    <row r="337" spans="7:23" x14ac:dyDescent="0.25"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</row>
    <row r="338" spans="7:23" x14ac:dyDescent="0.25"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</row>
    <row r="339" spans="7:23" x14ac:dyDescent="0.25"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</row>
    <row r="340" spans="7:23" x14ac:dyDescent="0.25"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</row>
    <row r="341" spans="7:23" x14ac:dyDescent="0.25"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</row>
    <row r="342" spans="7:23" x14ac:dyDescent="0.25"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</row>
    <row r="343" spans="7:23" x14ac:dyDescent="0.25"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</row>
    <row r="344" spans="7:23" x14ac:dyDescent="0.25"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</row>
    <row r="345" spans="7:23" x14ac:dyDescent="0.25"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</row>
    <row r="346" spans="7:23" x14ac:dyDescent="0.25"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</row>
    <row r="347" spans="7:23" x14ac:dyDescent="0.25"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</row>
    <row r="348" spans="7:23" x14ac:dyDescent="0.25"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</row>
    <row r="349" spans="7:23" x14ac:dyDescent="0.25"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</row>
    <row r="350" spans="7:23" x14ac:dyDescent="0.25"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</row>
    <row r="351" spans="7:23" x14ac:dyDescent="0.25"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</row>
    <row r="352" spans="7:23" x14ac:dyDescent="0.25"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</row>
    <row r="353" spans="7:23" x14ac:dyDescent="0.25"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</row>
    <row r="354" spans="7:23" x14ac:dyDescent="0.25"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</row>
    <row r="355" spans="7:23" x14ac:dyDescent="0.25"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</row>
    <row r="356" spans="7:23" x14ac:dyDescent="0.25"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</row>
    <row r="357" spans="7:23" x14ac:dyDescent="0.25"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</row>
    <row r="358" spans="7:23" x14ac:dyDescent="0.25"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</row>
    <row r="359" spans="7:23" x14ac:dyDescent="0.25"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</row>
    <row r="360" spans="7:23" x14ac:dyDescent="0.25"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</row>
    <row r="361" spans="7:23" x14ac:dyDescent="0.25"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</row>
    <row r="362" spans="7:23" x14ac:dyDescent="0.25"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</row>
    <row r="363" spans="7:23" x14ac:dyDescent="0.25"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</row>
    <row r="364" spans="7:23" x14ac:dyDescent="0.25"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</row>
    <row r="365" spans="7:23" x14ac:dyDescent="0.25"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</row>
    <row r="366" spans="7:23" x14ac:dyDescent="0.25"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</row>
    <row r="367" spans="7:23" x14ac:dyDescent="0.25"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</row>
    <row r="368" spans="7:23" x14ac:dyDescent="0.25"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</row>
    <row r="369" spans="7:23" x14ac:dyDescent="0.25"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</row>
    <row r="370" spans="7:23" x14ac:dyDescent="0.25"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</row>
    <row r="371" spans="7:23" x14ac:dyDescent="0.25"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</row>
    <row r="372" spans="7:23" x14ac:dyDescent="0.25"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</row>
    <row r="373" spans="7:23" x14ac:dyDescent="0.25"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</row>
    <row r="374" spans="7:23" x14ac:dyDescent="0.25"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</row>
    <row r="375" spans="7:23" x14ac:dyDescent="0.25"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</row>
    <row r="376" spans="7:23" x14ac:dyDescent="0.25"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</row>
    <row r="377" spans="7:23" x14ac:dyDescent="0.25"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</row>
    <row r="378" spans="7:23" x14ac:dyDescent="0.25"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</row>
    <row r="379" spans="7:23" x14ac:dyDescent="0.25"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</row>
    <row r="380" spans="7:23" x14ac:dyDescent="0.25"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</row>
    <row r="381" spans="7:23" x14ac:dyDescent="0.25"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</row>
    <row r="382" spans="7:23" x14ac:dyDescent="0.25"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</row>
    <row r="383" spans="7:23" x14ac:dyDescent="0.25"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</row>
    <row r="384" spans="7:23" x14ac:dyDescent="0.25"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</row>
    <row r="385" spans="7:23" x14ac:dyDescent="0.25"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</row>
    <row r="386" spans="7:23" x14ac:dyDescent="0.25"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</row>
    <row r="387" spans="7:23" x14ac:dyDescent="0.25"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</row>
    <row r="388" spans="7:23" x14ac:dyDescent="0.25"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</row>
    <row r="389" spans="7:23" x14ac:dyDescent="0.25"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</row>
    <row r="390" spans="7:23" x14ac:dyDescent="0.25"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</row>
    <row r="391" spans="7:23" x14ac:dyDescent="0.25"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</row>
    <row r="392" spans="7:23" x14ac:dyDescent="0.25"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</row>
    <row r="393" spans="7:23" x14ac:dyDescent="0.25"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</row>
    <row r="394" spans="7:23" x14ac:dyDescent="0.25"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</row>
    <row r="395" spans="7:23" x14ac:dyDescent="0.25"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</row>
    <row r="396" spans="7:23" x14ac:dyDescent="0.25"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</row>
    <row r="397" spans="7:23" x14ac:dyDescent="0.25"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</row>
    <row r="398" spans="7:23" x14ac:dyDescent="0.25"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</row>
    <row r="399" spans="7:23" x14ac:dyDescent="0.25"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</row>
    <row r="400" spans="7:23" x14ac:dyDescent="0.25"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</row>
    <row r="401" spans="7:23" x14ac:dyDescent="0.25"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</row>
    <row r="402" spans="7:23" x14ac:dyDescent="0.25"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</row>
    <row r="403" spans="7:23" x14ac:dyDescent="0.25"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</row>
    <row r="404" spans="7:23" x14ac:dyDescent="0.25"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</row>
    <row r="405" spans="7:23" x14ac:dyDescent="0.25"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</row>
    <row r="406" spans="7:23" x14ac:dyDescent="0.25"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</row>
    <row r="407" spans="7:23" x14ac:dyDescent="0.25"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</row>
    <row r="408" spans="7:23" x14ac:dyDescent="0.25"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</row>
    <row r="409" spans="7:23" x14ac:dyDescent="0.25"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</row>
    <row r="410" spans="7:23" x14ac:dyDescent="0.25"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</row>
    <row r="411" spans="7:23" x14ac:dyDescent="0.25"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</row>
    <row r="412" spans="7:23" x14ac:dyDescent="0.25"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</row>
    <row r="413" spans="7:23" x14ac:dyDescent="0.25"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</row>
    <row r="414" spans="7:23" x14ac:dyDescent="0.25"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</row>
    <row r="415" spans="7:23" x14ac:dyDescent="0.25"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</row>
    <row r="416" spans="7:23" x14ac:dyDescent="0.25"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</row>
    <row r="417" spans="7:23" x14ac:dyDescent="0.25"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</row>
    <row r="418" spans="7:23" x14ac:dyDescent="0.25"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</row>
    <row r="419" spans="7:23" x14ac:dyDescent="0.25"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</row>
    <row r="420" spans="7:23" x14ac:dyDescent="0.25"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</row>
    <row r="421" spans="7:23" x14ac:dyDescent="0.25"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</row>
    <row r="422" spans="7:23" x14ac:dyDescent="0.25"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</row>
    <row r="423" spans="7:23" x14ac:dyDescent="0.25"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</row>
    <row r="424" spans="7:23" x14ac:dyDescent="0.25"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</row>
    <row r="425" spans="7:23" x14ac:dyDescent="0.25"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</row>
    <row r="426" spans="7:23" x14ac:dyDescent="0.25"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</row>
    <row r="427" spans="7:23" x14ac:dyDescent="0.25"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</row>
    <row r="428" spans="7:23" x14ac:dyDescent="0.25"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</row>
    <row r="429" spans="7:23" x14ac:dyDescent="0.25"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</row>
    <row r="430" spans="7:23" x14ac:dyDescent="0.25"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</row>
    <row r="431" spans="7:23" x14ac:dyDescent="0.25"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</row>
    <row r="432" spans="7:23" x14ac:dyDescent="0.25"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</row>
    <row r="433" spans="7:23" x14ac:dyDescent="0.25"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</row>
    <row r="434" spans="7:23" x14ac:dyDescent="0.25"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</row>
    <row r="435" spans="7:23" x14ac:dyDescent="0.25"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</row>
    <row r="436" spans="7:23" x14ac:dyDescent="0.25"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</row>
    <row r="437" spans="7:23" x14ac:dyDescent="0.25"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</row>
    <row r="438" spans="7:23" x14ac:dyDescent="0.25"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</row>
    <row r="439" spans="7:23" x14ac:dyDescent="0.25"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</row>
    <row r="440" spans="7:23" x14ac:dyDescent="0.25"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</row>
    <row r="441" spans="7:23" x14ac:dyDescent="0.25"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</row>
    <row r="442" spans="7:23" x14ac:dyDescent="0.25"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</row>
    <row r="443" spans="7:23" x14ac:dyDescent="0.25"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</row>
    <row r="444" spans="7:23" x14ac:dyDescent="0.25"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</row>
    <row r="445" spans="7:23" x14ac:dyDescent="0.25"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</row>
    <row r="446" spans="7:23" x14ac:dyDescent="0.25"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</row>
    <row r="447" spans="7:23" x14ac:dyDescent="0.25"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</row>
    <row r="448" spans="7:23" x14ac:dyDescent="0.25"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</row>
    <row r="449" spans="7:23" x14ac:dyDescent="0.25"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</row>
    <row r="450" spans="7:23" x14ac:dyDescent="0.25"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</row>
    <row r="451" spans="7:23" x14ac:dyDescent="0.25"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</row>
    <row r="452" spans="7:23" x14ac:dyDescent="0.25"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</row>
    <row r="453" spans="7:23" x14ac:dyDescent="0.25"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</row>
    <row r="454" spans="7:23" x14ac:dyDescent="0.25"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</row>
    <row r="455" spans="7:23" x14ac:dyDescent="0.25"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</row>
    <row r="456" spans="7:23" x14ac:dyDescent="0.25"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</row>
    <row r="457" spans="7:23" x14ac:dyDescent="0.25"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</row>
    <row r="458" spans="7:23" x14ac:dyDescent="0.25"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</row>
    <row r="459" spans="7:23" x14ac:dyDescent="0.25"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</row>
    <row r="460" spans="7:23" x14ac:dyDescent="0.25"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</row>
    <row r="461" spans="7:23" x14ac:dyDescent="0.25"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</row>
    <row r="462" spans="7:23" x14ac:dyDescent="0.25"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</row>
    <row r="463" spans="7:23" x14ac:dyDescent="0.25"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</row>
    <row r="464" spans="7:23" x14ac:dyDescent="0.25"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</row>
    <row r="465" spans="7:23" x14ac:dyDescent="0.25"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</row>
    <row r="466" spans="7:23" x14ac:dyDescent="0.25"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</row>
    <row r="467" spans="7:23" x14ac:dyDescent="0.25"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</row>
    <row r="468" spans="7:23" x14ac:dyDescent="0.25"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</row>
    <row r="469" spans="7:23" x14ac:dyDescent="0.25"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</row>
    <row r="470" spans="7:23" x14ac:dyDescent="0.25"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</row>
    <row r="471" spans="7:23" x14ac:dyDescent="0.25"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</row>
    <row r="472" spans="7:23" x14ac:dyDescent="0.25"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</row>
    <row r="473" spans="7:23" x14ac:dyDescent="0.25"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</row>
    <row r="474" spans="7:23" x14ac:dyDescent="0.25"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</row>
    <row r="475" spans="7:23" x14ac:dyDescent="0.25"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</row>
    <row r="476" spans="7:23" x14ac:dyDescent="0.25"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</row>
    <row r="477" spans="7:23" x14ac:dyDescent="0.25"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</row>
    <row r="478" spans="7:23" x14ac:dyDescent="0.25"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</row>
    <row r="479" spans="7:23" x14ac:dyDescent="0.25"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</row>
    <row r="480" spans="7:23" x14ac:dyDescent="0.25"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</row>
    <row r="481" spans="7:23" x14ac:dyDescent="0.25"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</row>
    <row r="482" spans="7:23" x14ac:dyDescent="0.25"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</row>
    <row r="483" spans="7:23" x14ac:dyDescent="0.25"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</row>
    <row r="484" spans="7:23" x14ac:dyDescent="0.25"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</row>
    <row r="485" spans="7:23" x14ac:dyDescent="0.25"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</row>
    <row r="486" spans="7:23" x14ac:dyDescent="0.25"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</row>
    <row r="487" spans="7:23" x14ac:dyDescent="0.25"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</row>
    <row r="488" spans="7:23" x14ac:dyDescent="0.25"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</row>
    <row r="489" spans="7:23" x14ac:dyDescent="0.25"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</row>
    <row r="490" spans="7:23" x14ac:dyDescent="0.25"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</row>
    <row r="491" spans="7:23" x14ac:dyDescent="0.25"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</row>
    <row r="492" spans="7:23" x14ac:dyDescent="0.25"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</row>
    <row r="493" spans="7:23" x14ac:dyDescent="0.25"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</row>
    <row r="494" spans="7:23" x14ac:dyDescent="0.25"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7:23" x14ac:dyDescent="0.25"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</row>
    <row r="496" spans="7:23" x14ac:dyDescent="0.25"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</row>
    <row r="497" spans="7:23" x14ac:dyDescent="0.25"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</row>
    <row r="498" spans="7:23" x14ac:dyDescent="0.25"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</row>
    <row r="499" spans="7:23" x14ac:dyDescent="0.25"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</row>
    <row r="500" spans="7:23" x14ac:dyDescent="0.25"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</row>
    <row r="501" spans="7:23" x14ac:dyDescent="0.25"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</row>
    <row r="502" spans="7:23" x14ac:dyDescent="0.25"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</row>
    <row r="503" spans="7:23" x14ac:dyDescent="0.25"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</row>
    <row r="504" spans="7:23" x14ac:dyDescent="0.25"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</row>
    <row r="505" spans="7:23" x14ac:dyDescent="0.25"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</row>
    <row r="506" spans="7:23" x14ac:dyDescent="0.25"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</row>
    <row r="507" spans="7:23" x14ac:dyDescent="0.25"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</row>
    <row r="508" spans="7:23" x14ac:dyDescent="0.25"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</row>
    <row r="509" spans="7:23" x14ac:dyDescent="0.25"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</row>
    <row r="510" spans="7:23" x14ac:dyDescent="0.25"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</row>
    <row r="511" spans="7:23" x14ac:dyDescent="0.25"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</row>
    <row r="512" spans="7:23" x14ac:dyDescent="0.25"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</row>
    <row r="513" spans="7:23" x14ac:dyDescent="0.25"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</row>
    <row r="514" spans="7:23" x14ac:dyDescent="0.25"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</row>
    <row r="515" spans="7:23" x14ac:dyDescent="0.25"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</row>
    <row r="516" spans="7:23" x14ac:dyDescent="0.25"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</row>
    <row r="517" spans="7:23" x14ac:dyDescent="0.25"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</row>
    <row r="518" spans="7:23" x14ac:dyDescent="0.25"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</row>
    <row r="519" spans="7:23" x14ac:dyDescent="0.25"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</row>
    <row r="520" spans="7:23" x14ac:dyDescent="0.25"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</row>
    <row r="521" spans="7:23" x14ac:dyDescent="0.25"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</row>
    <row r="522" spans="7:23" x14ac:dyDescent="0.25"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</row>
    <row r="523" spans="7:23" x14ac:dyDescent="0.25"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</row>
    <row r="524" spans="7:23" x14ac:dyDescent="0.25"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</row>
    <row r="525" spans="7:23" x14ac:dyDescent="0.25"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</row>
    <row r="526" spans="7:23" x14ac:dyDescent="0.25"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</row>
    <row r="527" spans="7:23" x14ac:dyDescent="0.25"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</row>
    <row r="528" spans="7:23" x14ac:dyDescent="0.25"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</row>
    <row r="529" spans="7:23" x14ac:dyDescent="0.25"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</row>
    <row r="530" spans="7:23" x14ac:dyDescent="0.25"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</row>
    <row r="531" spans="7:23" x14ac:dyDescent="0.25"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</row>
    <row r="532" spans="7:23" x14ac:dyDescent="0.25"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</row>
    <row r="533" spans="7:23" x14ac:dyDescent="0.25"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</row>
    <row r="534" spans="7:23" x14ac:dyDescent="0.25"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</row>
    <row r="535" spans="7:23" x14ac:dyDescent="0.25"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</row>
    <row r="536" spans="7:23" x14ac:dyDescent="0.25"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</row>
    <row r="537" spans="7:23" x14ac:dyDescent="0.25"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</row>
    <row r="538" spans="7:23" x14ac:dyDescent="0.25"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</row>
    <row r="539" spans="7:23" x14ac:dyDescent="0.25"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</row>
    <row r="540" spans="7:23" x14ac:dyDescent="0.25"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</row>
    <row r="541" spans="7:23" x14ac:dyDescent="0.25"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</row>
    <row r="542" spans="7:23" x14ac:dyDescent="0.25"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</row>
    <row r="543" spans="7:23" x14ac:dyDescent="0.25"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</row>
    <row r="544" spans="7:23" x14ac:dyDescent="0.25"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</row>
    <row r="545" spans="7:23" x14ac:dyDescent="0.25"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</row>
    <row r="546" spans="7:23" x14ac:dyDescent="0.25"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</row>
    <row r="547" spans="7:23" x14ac:dyDescent="0.25"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</row>
    <row r="548" spans="7:23" x14ac:dyDescent="0.25"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</row>
    <row r="549" spans="7:23" x14ac:dyDescent="0.25"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</row>
    <row r="550" spans="7:23" x14ac:dyDescent="0.25"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</row>
    <row r="551" spans="7:23" x14ac:dyDescent="0.25"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</row>
    <row r="552" spans="7:23" x14ac:dyDescent="0.25"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</row>
    <row r="553" spans="7:23" x14ac:dyDescent="0.25"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</row>
    <row r="554" spans="7:23" x14ac:dyDescent="0.25"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</row>
    <row r="555" spans="7:23" x14ac:dyDescent="0.25"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</row>
    <row r="556" spans="7:23" x14ac:dyDescent="0.25"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</row>
    <row r="557" spans="7:23" x14ac:dyDescent="0.25"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</row>
    <row r="558" spans="7:23" x14ac:dyDescent="0.25"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</row>
    <row r="559" spans="7:23" x14ac:dyDescent="0.25"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</row>
    <row r="560" spans="7:23" x14ac:dyDescent="0.25"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</row>
    <row r="561" spans="7:23" x14ac:dyDescent="0.25"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</row>
    <row r="562" spans="7:23" x14ac:dyDescent="0.25"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</row>
    <row r="563" spans="7:23" x14ac:dyDescent="0.25"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</row>
    <row r="564" spans="7:23" x14ac:dyDescent="0.25"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</row>
    <row r="565" spans="7:23" x14ac:dyDescent="0.25"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</row>
    <row r="566" spans="7:23" x14ac:dyDescent="0.25"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</row>
    <row r="567" spans="7:23" x14ac:dyDescent="0.25"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</row>
    <row r="568" spans="7:23" x14ac:dyDescent="0.25"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</row>
    <row r="569" spans="7:23" x14ac:dyDescent="0.25"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</row>
    <row r="570" spans="7:23" x14ac:dyDescent="0.25"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</row>
    <row r="571" spans="7:23" x14ac:dyDescent="0.25"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</row>
    <row r="572" spans="7:23" x14ac:dyDescent="0.25"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</row>
    <row r="573" spans="7:23" x14ac:dyDescent="0.25"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</row>
    <row r="574" spans="7:23" x14ac:dyDescent="0.25"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</row>
    <row r="575" spans="7:23" x14ac:dyDescent="0.25"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</row>
    <row r="576" spans="7:23" x14ac:dyDescent="0.25"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</row>
    <row r="577" spans="7:23" x14ac:dyDescent="0.25"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</row>
    <row r="578" spans="7:23" x14ac:dyDescent="0.25"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</row>
    <row r="579" spans="7:23" x14ac:dyDescent="0.25"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</row>
    <row r="580" spans="7:23" x14ac:dyDescent="0.25"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</row>
    <row r="581" spans="7:23" x14ac:dyDescent="0.25"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</row>
    <row r="582" spans="7:23" x14ac:dyDescent="0.25"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</row>
    <row r="583" spans="7:23" x14ac:dyDescent="0.25"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</row>
    <row r="584" spans="7:23" x14ac:dyDescent="0.25"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</row>
    <row r="585" spans="7:23" x14ac:dyDescent="0.25"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</row>
    <row r="586" spans="7:23" x14ac:dyDescent="0.25"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</row>
    <row r="587" spans="7:23" x14ac:dyDescent="0.25"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</row>
    <row r="588" spans="7:23" x14ac:dyDescent="0.25"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</row>
    <row r="589" spans="7:23" x14ac:dyDescent="0.25"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</row>
    <row r="590" spans="7:23" x14ac:dyDescent="0.25"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</row>
    <row r="591" spans="7:23" x14ac:dyDescent="0.25"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</row>
    <row r="592" spans="7:23" x14ac:dyDescent="0.25"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</row>
    <row r="593" spans="7:23" x14ac:dyDescent="0.25"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</row>
    <row r="594" spans="7:23" x14ac:dyDescent="0.25"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7:23" x14ac:dyDescent="0.25"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</row>
    <row r="596" spans="7:23" x14ac:dyDescent="0.25"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</row>
    <row r="597" spans="7:23" x14ac:dyDescent="0.25"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</row>
    <row r="598" spans="7:23" x14ac:dyDescent="0.25"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</row>
    <row r="599" spans="7:23" x14ac:dyDescent="0.25"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</row>
    <row r="600" spans="7:23" x14ac:dyDescent="0.25"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</row>
    <row r="601" spans="7:23" x14ac:dyDescent="0.25"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</row>
    <row r="602" spans="7:23" x14ac:dyDescent="0.25"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</row>
    <row r="603" spans="7:23" x14ac:dyDescent="0.25"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</row>
    <row r="604" spans="7:23" x14ac:dyDescent="0.25"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</row>
    <row r="605" spans="7:23" x14ac:dyDescent="0.25"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</row>
    <row r="606" spans="7:23" x14ac:dyDescent="0.25"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</row>
    <row r="607" spans="7:23" x14ac:dyDescent="0.25"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</row>
    <row r="608" spans="7:23" x14ac:dyDescent="0.25"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</row>
    <row r="609" spans="7:23" x14ac:dyDescent="0.25"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</row>
    <row r="610" spans="7:23" x14ac:dyDescent="0.25"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</row>
    <row r="611" spans="7:23" x14ac:dyDescent="0.25"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</row>
    <row r="612" spans="7:23" x14ac:dyDescent="0.25"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</row>
    <row r="613" spans="7:23" x14ac:dyDescent="0.25"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</row>
    <row r="614" spans="7:23" x14ac:dyDescent="0.25"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</row>
    <row r="615" spans="7:23" x14ac:dyDescent="0.25"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</row>
    <row r="616" spans="7:23" x14ac:dyDescent="0.25"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</row>
    <row r="617" spans="7:23" x14ac:dyDescent="0.25"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</row>
    <row r="618" spans="7:23" x14ac:dyDescent="0.25"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</row>
    <row r="619" spans="7:23" x14ac:dyDescent="0.25"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</row>
    <row r="620" spans="7:23" x14ac:dyDescent="0.25"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</row>
    <row r="621" spans="7:23" x14ac:dyDescent="0.25"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</row>
    <row r="622" spans="7:23" x14ac:dyDescent="0.25"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</row>
    <row r="623" spans="7:23" x14ac:dyDescent="0.25"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</row>
    <row r="624" spans="7:23" x14ac:dyDescent="0.25"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</row>
    <row r="625" spans="7:23" x14ac:dyDescent="0.25"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</row>
    <row r="626" spans="7:23" x14ac:dyDescent="0.25"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</row>
    <row r="627" spans="7:23" x14ac:dyDescent="0.25"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</row>
    <row r="628" spans="7:23" x14ac:dyDescent="0.25"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</row>
    <row r="629" spans="7:23" x14ac:dyDescent="0.25"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</row>
    <row r="630" spans="7:23" x14ac:dyDescent="0.25"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</row>
    <row r="631" spans="7:23" x14ac:dyDescent="0.25"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</row>
    <row r="632" spans="7:23" x14ac:dyDescent="0.25"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</row>
    <row r="633" spans="7:23" x14ac:dyDescent="0.25"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</row>
    <row r="634" spans="7:23" x14ac:dyDescent="0.25"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</row>
    <row r="635" spans="7:23" x14ac:dyDescent="0.25"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</row>
    <row r="636" spans="7:23" x14ac:dyDescent="0.25"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</row>
    <row r="637" spans="7:23" x14ac:dyDescent="0.25"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</row>
    <row r="638" spans="7:23" x14ac:dyDescent="0.25"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</row>
    <row r="639" spans="7:23" x14ac:dyDescent="0.25"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</row>
    <row r="640" spans="7:23" x14ac:dyDescent="0.25"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</row>
    <row r="641" spans="7:23" x14ac:dyDescent="0.25"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</row>
    <row r="642" spans="7:23" x14ac:dyDescent="0.25"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</row>
    <row r="643" spans="7:23" x14ac:dyDescent="0.25"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</row>
    <row r="644" spans="7:23" x14ac:dyDescent="0.25"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</row>
    <row r="645" spans="7:23" x14ac:dyDescent="0.25"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</row>
    <row r="646" spans="7:23" x14ac:dyDescent="0.25"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</row>
    <row r="647" spans="7:23" x14ac:dyDescent="0.25"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</row>
    <row r="648" spans="7:23" x14ac:dyDescent="0.25"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</row>
    <row r="649" spans="7:23" x14ac:dyDescent="0.25"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</row>
    <row r="650" spans="7:23" x14ac:dyDescent="0.25"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</row>
    <row r="651" spans="7:23" x14ac:dyDescent="0.25"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</row>
    <row r="652" spans="7:23" x14ac:dyDescent="0.25"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</row>
    <row r="653" spans="7:23" x14ac:dyDescent="0.25"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</row>
    <row r="654" spans="7:23" x14ac:dyDescent="0.25"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</row>
    <row r="655" spans="7:23" x14ac:dyDescent="0.25"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</row>
    <row r="656" spans="7:23" x14ac:dyDescent="0.25"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</row>
    <row r="657" spans="7:23" x14ac:dyDescent="0.25"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</row>
    <row r="658" spans="7:23" x14ac:dyDescent="0.25"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</row>
    <row r="659" spans="7:23" x14ac:dyDescent="0.25"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</row>
    <row r="660" spans="7:23" x14ac:dyDescent="0.25"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</row>
    <row r="661" spans="7:23" x14ac:dyDescent="0.25"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</row>
    <row r="662" spans="7:23" x14ac:dyDescent="0.25"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</row>
    <row r="663" spans="7:23" x14ac:dyDescent="0.25"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</row>
    <row r="664" spans="7:23" x14ac:dyDescent="0.25"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</row>
    <row r="665" spans="7:23" x14ac:dyDescent="0.25"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</row>
    <row r="666" spans="7:23" x14ac:dyDescent="0.25"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</row>
    <row r="667" spans="7:23" x14ac:dyDescent="0.25"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</row>
    <row r="668" spans="7:23" x14ac:dyDescent="0.25"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</row>
    <row r="669" spans="7:23" x14ac:dyDescent="0.25"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</row>
    <row r="670" spans="7:23" x14ac:dyDescent="0.25"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</row>
    <row r="671" spans="7:23" x14ac:dyDescent="0.25"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</row>
    <row r="672" spans="7:23" x14ac:dyDescent="0.25"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</row>
    <row r="673" spans="7:23" x14ac:dyDescent="0.25"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</row>
    <row r="674" spans="7:23" x14ac:dyDescent="0.25"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</row>
    <row r="675" spans="7:23" x14ac:dyDescent="0.25"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</row>
    <row r="676" spans="7:23" x14ac:dyDescent="0.25"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</row>
    <row r="677" spans="7:23" x14ac:dyDescent="0.25"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</row>
    <row r="678" spans="7:23" x14ac:dyDescent="0.25"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</row>
    <row r="679" spans="7:23" x14ac:dyDescent="0.25"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</row>
    <row r="680" spans="7:23" x14ac:dyDescent="0.25"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</row>
    <row r="681" spans="7:23" x14ac:dyDescent="0.25"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</row>
    <row r="682" spans="7:23" x14ac:dyDescent="0.25"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</row>
    <row r="683" spans="7:23" x14ac:dyDescent="0.25"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</row>
    <row r="684" spans="7:23" x14ac:dyDescent="0.25"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</row>
    <row r="685" spans="7:23" x14ac:dyDescent="0.25"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</row>
    <row r="686" spans="7:23" x14ac:dyDescent="0.25"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</row>
    <row r="687" spans="7:23" x14ac:dyDescent="0.25"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</row>
    <row r="688" spans="7:23" x14ac:dyDescent="0.25"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</row>
    <row r="689" spans="7:23" x14ac:dyDescent="0.25"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</row>
    <row r="690" spans="7:23" x14ac:dyDescent="0.25"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</row>
    <row r="691" spans="7:23" x14ac:dyDescent="0.25"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</row>
    <row r="692" spans="7:23" x14ac:dyDescent="0.25"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</row>
    <row r="693" spans="7:23" x14ac:dyDescent="0.25"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</row>
    <row r="694" spans="7:23" x14ac:dyDescent="0.25"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</row>
    <row r="695" spans="7:23" x14ac:dyDescent="0.25"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</row>
    <row r="696" spans="7:23" x14ac:dyDescent="0.25"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</row>
    <row r="697" spans="7:23" x14ac:dyDescent="0.25"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</row>
    <row r="698" spans="7:23" x14ac:dyDescent="0.25"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</row>
    <row r="699" spans="7:23" x14ac:dyDescent="0.25"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</row>
    <row r="700" spans="7:23" x14ac:dyDescent="0.25"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</row>
    <row r="701" spans="7:23" x14ac:dyDescent="0.25"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</row>
    <row r="702" spans="7:23" x14ac:dyDescent="0.25"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</row>
    <row r="703" spans="7:23" x14ac:dyDescent="0.25"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</row>
    <row r="704" spans="7:23" x14ac:dyDescent="0.25"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</row>
    <row r="705" spans="7:23" x14ac:dyDescent="0.25"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</row>
    <row r="706" spans="7:23" x14ac:dyDescent="0.25"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</row>
    <row r="707" spans="7:23" x14ac:dyDescent="0.25"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</row>
    <row r="708" spans="7:23" x14ac:dyDescent="0.25"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</row>
    <row r="709" spans="7:23" x14ac:dyDescent="0.25"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</row>
    <row r="710" spans="7:23" x14ac:dyDescent="0.25"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</row>
    <row r="711" spans="7:23" x14ac:dyDescent="0.25"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</row>
    <row r="712" spans="7:23" x14ac:dyDescent="0.25"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</row>
    <row r="713" spans="7:23" x14ac:dyDescent="0.25"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</row>
    <row r="714" spans="7:23" x14ac:dyDescent="0.25"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</row>
    <row r="715" spans="7:23" x14ac:dyDescent="0.25"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</row>
    <row r="716" spans="7:23" x14ac:dyDescent="0.25"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</row>
    <row r="717" spans="7:23" x14ac:dyDescent="0.25"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</row>
    <row r="718" spans="7:23" x14ac:dyDescent="0.25"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</row>
    <row r="719" spans="7:23" x14ac:dyDescent="0.25"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</row>
    <row r="720" spans="7:23" x14ac:dyDescent="0.25"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</row>
    <row r="721" spans="7:23" x14ac:dyDescent="0.25"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</row>
    <row r="722" spans="7:23" x14ac:dyDescent="0.25"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</row>
    <row r="723" spans="7:23" x14ac:dyDescent="0.25"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</row>
    <row r="724" spans="7:23" x14ac:dyDescent="0.25"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</row>
    <row r="725" spans="7:23" x14ac:dyDescent="0.25"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</row>
    <row r="726" spans="7:23" x14ac:dyDescent="0.25"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</row>
    <row r="727" spans="7:23" x14ac:dyDescent="0.25"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</row>
    <row r="728" spans="7:23" x14ac:dyDescent="0.25"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</row>
    <row r="729" spans="7:23" x14ac:dyDescent="0.25"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</row>
    <row r="730" spans="7:23" x14ac:dyDescent="0.25"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</row>
    <row r="731" spans="7:23" x14ac:dyDescent="0.25"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</row>
    <row r="732" spans="7:23" x14ac:dyDescent="0.25"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</row>
    <row r="733" spans="7:23" x14ac:dyDescent="0.25"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</row>
    <row r="734" spans="7:23" x14ac:dyDescent="0.25"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</row>
    <row r="735" spans="7:23" x14ac:dyDescent="0.25"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</row>
    <row r="736" spans="7:23" x14ac:dyDescent="0.25"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</row>
    <row r="737" spans="7:23" x14ac:dyDescent="0.25"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</row>
    <row r="738" spans="7:23" x14ac:dyDescent="0.25"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</row>
    <row r="739" spans="7:23" x14ac:dyDescent="0.25"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</row>
    <row r="740" spans="7:23" x14ac:dyDescent="0.25"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</row>
    <row r="741" spans="7:23" x14ac:dyDescent="0.25"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</row>
    <row r="742" spans="7:23" x14ac:dyDescent="0.25"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</row>
    <row r="743" spans="7:23" x14ac:dyDescent="0.25"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</row>
    <row r="744" spans="7:23" x14ac:dyDescent="0.25"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</row>
    <row r="745" spans="7:23" x14ac:dyDescent="0.25"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</row>
    <row r="746" spans="7:23" x14ac:dyDescent="0.25"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</row>
    <row r="747" spans="7:23" x14ac:dyDescent="0.25"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</row>
    <row r="748" spans="7:23" x14ac:dyDescent="0.25"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</row>
    <row r="749" spans="7:23" x14ac:dyDescent="0.25"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</row>
    <row r="750" spans="7:23" x14ac:dyDescent="0.25"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</row>
    <row r="751" spans="7:23" x14ac:dyDescent="0.25"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</row>
    <row r="752" spans="7:23" x14ac:dyDescent="0.25"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</row>
    <row r="753" spans="7:23" x14ac:dyDescent="0.25"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</row>
    <row r="754" spans="7:23" x14ac:dyDescent="0.25"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</row>
    <row r="755" spans="7:23" x14ac:dyDescent="0.25"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</row>
    <row r="756" spans="7:23" x14ac:dyDescent="0.25"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</row>
    <row r="757" spans="7:23" x14ac:dyDescent="0.25"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</row>
    <row r="758" spans="7:23" x14ac:dyDescent="0.25"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</row>
    <row r="759" spans="7:23" x14ac:dyDescent="0.25"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</row>
    <row r="760" spans="7:23" x14ac:dyDescent="0.25"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</row>
    <row r="761" spans="7:23" x14ac:dyDescent="0.25"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</row>
    <row r="762" spans="7:23" x14ac:dyDescent="0.25"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</row>
    <row r="763" spans="7:23" x14ac:dyDescent="0.25"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</row>
    <row r="764" spans="7:23" x14ac:dyDescent="0.25"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</row>
    <row r="765" spans="7:23" x14ac:dyDescent="0.25"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</row>
    <row r="766" spans="7:23" x14ac:dyDescent="0.25"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</row>
    <row r="767" spans="7:23" x14ac:dyDescent="0.25"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</row>
    <row r="768" spans="7:23" x14ac:dyDescent="0.25"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</row>
    <row r="769" spans="7:23" x14ac:dyDescent="0.25"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</row>
    <row r="770" spans="7:23" x14ac:dyDescent="0.25"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</row>
    <row r="771" spans="7:23" x14ac:dyDescent="0.25"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</row>
    <row r="772" spans="7:23" x14ac:dyDescent="0.25"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</row>
    <row r="773" spans="7:23" x14ac:dyDescent="0.25"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</row>
    <row r="774" spans="7:23" x14ac:dyDescent="0.25"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</row>
    <row r="775" spans="7:23" x14ac:dyDescent="0.25"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</row>
    <row r="776" spans="7:23" x14ac:dyDescent="0.25"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</row>
    <row r="777" spans="7:23" x14ac:dyDescent="0.25"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</row>
    <row r="778" spans="7:23" x14ac:dyDescent="0.25"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</row>
    <row r="779" spans="7:23" x14ac:dyDescent="0.25"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</row>
    <row r="780" spans="7:23" x14ac:dyDescent="0.25"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</row>
    <row r="781" spans="7:23" x14ac:dyDescent="0.25"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</row>
    <row r="782" spans="7:23" x14ac:dyDescent="0.25"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</row>
    <row r="783" spans="7:23" x14ac:dyDescent="0.25"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</row>
    <row r="784" spans="7:23" x14ac:dyDescent="0.25"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</row>
    <row r="785" spans="7:23" x14ac:dyDescent="0.25"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</row>
    <row r="786" spans="7:23" x14ac:dyDescent="0.25"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</row>
    <row r="787" spans="7:23" x14ac:dyDescent="0.25"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</row>
    <row r="788" spans="7:23" x14ac:dyDescent="0.25"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</row>
    <row r="789" spans="7:23" x14ac:dyDescent="0.25"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</row>
    <row r="790" spans="7:23" x14ac:dyDescent="0.25"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</row>
    <row r="791" spans="7:23" x14ac:dyDescent="0.25"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</row>
    <row r="792" spans="7:23" x14ac:dyDescent="0.25"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</row>
    <row r="793" spans="7:23" x14ac:dyDescent="0.25"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</row>
    <row r="794" spans="7:23" x14ac:dyDescent="0.25"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</row>
    <row r="795" spans="7:23" x14ac:dyDescent="0.25"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</row>
    <row r="796" spans="7:23" x14ac:dyDescent="0.25"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</row>
    <row r="797" spans="7:23" x14ac:dyDescent="0.25"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</row>
    <row r="798" spans="7:23" x14ac:dyDescent="0.25"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</row>
    <row r="799" spans="7:23" x14ac:dyDescent="0.25"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</row>
    <row r="800" spans="7:23" x14ac:dyDescent="0.25"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</row>
    <row r="801" spans="7:23" x14ac:dyDescent="0.25"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</row>
    <row r="802" spans="7:23" x14ac:dyDescent="0.25"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</row>
    <row r="803" spans="7:23" x14ac:dyDescent="0.25"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</row>
    <row r="804" spans="7:23" x14ac:dyDescent="0.25"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</row>
    <row r="805" spans="7:23" x14ac:dyDescent="0.25"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</row>
    <row r="806" spans="7:23" x14ac:dyDescent="0.25"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</row>
    <row r="807" spans="7:23" x14ac:dyDescent="0.25"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</row>
    <row r="808" spans="7:23" x14ac:dyDescent="0.25"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</row>
    <row r="809" spans="7:23" x14ac:dyDescent="0.25"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</row>
    <row r="810" spans="7:23" x14ac:dyDescent="0.25"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</row>
    <row r="811" spans="7:23" x14ac:dyDescent="0.25"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</row>
    <row r="812" spans="7:23" x14ac:dyDescent="0.25"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</row>
    <row r="813" spans="7:23" x14ac:dyDescent="0.25"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</row>
    <row r="814" spans="7:23" x14ac:dyDescent="0.25"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</row>
    <row r="815" spans="7:23" x14ac:dyDescent="0.25"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</row>
    <row r="816" spans="7:23" x14ac:dyDescent="0.25"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</row>
    <row r="817" spans="7:23" x14ac:dyDescent="0.25"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</row>
    <row r="818" spans="7:23" x14ac:dyDescent="0.25"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</row>
    <row r="819" spans="7:23" x14ac:dyDescent="0.25"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</row>
    <row r="820" spans="7:23" x14ac:dyDescent="0.25"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</row>
    <row r="821" spans="7:23" x14ac:dyDescent="0.25"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</row>
    <row r="822" spans="7:23" x14ac:dyDescent="0.25"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</row>
    <row r="823" spans="7:23" x14ac:dyDescent="0.25"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</row>
    <row r="824" spans="7:23" x14ac:dyDescent="0.25"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</row>
    <row r="825" spans="7:23" x14ac:dyDescent="0.25"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</row>
    <row r="826" spans="7:23" x14ac:dyDescent="0.25"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</row>
    <row r="827" spans="7:23" x14ac:dyDescent="0.25"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</row>
    <row r="828" spans="7:23" x14ac:dyDescent="0.25"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</row>
    <row r="829" spans="7:23" x14ac:dyDescent="0.25"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</row>
    <row r="830" spans="7:23" x14ac:dyDescent="0.25"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</row>
    <row r="831" spans="7:23" x14ac:dyDescent="0.25"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</row>
    <row r="832" spans="7:23" x14ac:dyDescent="0.25"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</row>
    <row r="833" spans="7:23" x14ac:dyDescent="0.25"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</row>
    <row r="834" spans="7:23" x14ac:dyDescent="0.25"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</row>
    <row r="835" spans="7:23" x14ac:dyDescent="0.25"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</row>
    <row r="836" spans="7:23" x14ac:dyDescent="0.25"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</row>
    <row r="837" spans="7:23" x14ac:dyDescent="0.25"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</row>
    <row r="838" spans="7:23" x14ac:dyDescent="0.25"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</row>
    <row r="839" spans="7:23" x14ac:dyDescent="0.25"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</row>
    <row r="840" spans="7:23" x14ac:dyDescent="0.25"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</row>
    <row r="841" spans="7:23" x14ac:dyDescent="0.25"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</row>
    <row r="842" spans="7:23" x14ac:dyDescent="0.25"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</row>
    <row r="843" spans="7:23" x14ac:dyDescent="0.25"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</row>
    <row r="844" spans="7:23" x14ac:dyDescent="0.25"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</row>
    <row r="845" spans="7:23" x14ac:dyDescent="0.25"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</row>
    <row r="846" spans="7:23" x14ac:dyDescent="0.25"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</row>
    <row r="847" spans="7:23" x14ac:dyDescent="0.25"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</row>
    <row r="848" spans="7:23" x14ac:dyDescent="0.25"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</row>
    <row r="849" spans="7:23" x14ac:dyDescent="0.25"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</row>
    <row r="850" spans="7:23" x14ac:dyDescent="0.25"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</row>
    <row r="851" spans="7:23" x14ac:dyDescent="0.25"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</row>
    <row r="852" spans="7:23" x14ac:dyDescent="0.25"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</row>
    <row r="853" spans="7:23" x14ac:dyDescent="0.25"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</row>
    <row r="854" spans="7:23" x14ac:dyDescent="0.25"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</row>
    <row r="855" spans="7:23" x14ac:dyDescent="0.25"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</row>
    <row r="856" spans="7:23" x14ac:dyDescent="0.25"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</row>
    <row r="857" spans="7:23" x14ac:dyDescent="0.25"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</row>
    <row r="858" spans="7:23" x14ac:dyDescent="0.25"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</row>
    <row r="859" spans="7:23" x14ac:dyDescent="0.25"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</row>
    <row r="860" spans="7:23" x14ac:dyDescent="0.25"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</row>
    <row r="861" spans="7:23" x14ac:dyDescent="0.25"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</row>
    <row r="862" spans="7:23" x14ac:dyDescent="0.25"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</row>
    <row r="863" spans="7:23" x14ac:dyDescent="0.25"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</row>
    <row r="864" spans="7:23" x14ac:dyDescent="0.25"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</row>
    <row r="865" spans="7:23" x14ac:dyDescent="0.25"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</row>
    <row r="866" spans="7:23" x14ac:dyDescent="0.25"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</row>
    <row r="867" spans="7:23" x14ac:dyDescent="0.25"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</row>
    <row r="868" spans="7:23" x14ac:dyDescent="0.25"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</row>
    <row r="869" spans="7:23" x14ac:dyDescent="0.25"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</row>
    <row r="870" spans="7:23" x14ac:dyDescent="0.25"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</row>
    <row r="871" spans="7:23" x14ac:dyDescent="0.25"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</row>
    <row r="872" spans="7:23" x14ac:dyDescent="0.25"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</row>
    <row r="873" spans="7:23" x14ac:dyDescent="0.25"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</row>
    <row r="874" spans="7:23" x14ac:dyDescent="0.25"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</row>
    <row r="875" spans="7:23" x14ac:dyDescent="0.25"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</row>
    <row r="876" spans="7:23" x14ac:dyDescent="0.25"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</row>
    <row r="877" spans="7:23" x14ac:dyDescent="0.25"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</row>
    <row r="878" spans="7:23" x14ac:dyDescent="0.25"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</row>
    <row r="879" spans="7:23" x14ac:dyDescent="0.25"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</row>
    <row r="880" spans="7:23" x14ac:dyDescent="0.25"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</row>
    <row r="881" spans="7:23" x14ac:dyDescent="0.25"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</row>
    <row r="882" spans="7:23" x14ac:dyDescent="0.25"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</row>
    <row r="883" spans="7:23" x14ac:dyDescent="0.25"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</row>
    <row r="884" spans="7:23" x14ac:dyDescent="0.25"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</row>
    <row r="885" spans="7:23" x14ac:dyDescent="0.25"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</row>
    <row r="886" spans="7:23" x14ac:dyDescent="0.25"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</row>
    <row r="887" spans="7:23" x14ac:dyDescent="0.25"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</row>
    <row r="888" spans="7:23" x14ac:dyDescent="0.25"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</row>
    <row r="889" spans="7:23" x14ac:dyDescent="0.25"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</row>
    <row r="890" spans="7:23" x14ac:dyDescent="0.25"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</row>
    <row r="891" spans="7:23" x14ac:dyDescent="0.25"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</row>
    <row r="892" spans="7:23" x14ac:dyDescent="0.25"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</row>
    <row r="893" spans="7:23" x14ac:dyDescent="0.25"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</row>
    <row r="894" spans="7:23" x14ac:dyDescent="0.25"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</row>
    <row r="895" spans="7:23" x14ac:dyDescent="0.25"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</row>
    <row r="896" spans="7:23" x14ac:dyDescent="0.25"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</row>
    <row r="897" spans="7:23" x14ac:dyDescent="0.25"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</row>
    <row r="898" spans="7:23" x14ac:dyDescent="0.25"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</row>
    <row r="899" spans="7:23" x14ac:dyDescent="0.25"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</row>
    <row r="900" spans="7:23" x14ac:dyDescent="0.25"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</row>
    <row r="901" spans="7:23" x14ac:dyDescent="0.25"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</row>
    <row r="902" spans="7:23" x14ac:dyDescent="0.25"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</row>
    <row r="903" spans="7:23" x14ac:dyDescent="0.25"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</row>
    <row r="904" spans="7:23" x14ac:dyDescent="0.25"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</row>
    <row r="905" spans="7:23" x14ac:dyDescent="0.25"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</row>
    <row r="906" spans="7:23" x14ac:dyDescent="0.25"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</row>
    <row r="907" spans="7:23" x14ac:dyDescent="0.25"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</row>
    <row r="908" spans="7:23" x14ac:dyDescent="0.25"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</row>
    <row r="909" spans="7:23" x14ac:dyDescent="0.25"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</row>
    <row r="910" spans="7:23" x14ac:dyDescent="0.25"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</row>
    <row r="911" spans="7:23" x14ac:dyDescent="0.25"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</row>
    <row r="912" spans="7:23" x14ac:dyDescent="0.25"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</row>
    <row r="913" spans="7:23" x14ac:dyDescent="0.25"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</row>
    <row r="914" spans="7:23" x14ac:dyDescent="0.25"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</row>
    <row r="915" spans="7:23" x14ac:dyDescent="0.25"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</row>
    <row r="916" spans="7:23" x14ac:dyDescent="0.25"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</row>
    <row r="917" spans="7:23" x14ac:dyDescent="0.25"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</row>
    <row r="918" spans="7:23" x14ac:dyDescent="0.25"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</row>
    <row r="919" spans="7:23" x14ac:dyDescent="0.25"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</row>
    <row r="920" spans="7:23" x14ac:dyDescent="0.25"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</row>
    <row r="921" spans="7:23" x14ac:dyDescent="0.25"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</row>
    <row r="922" spans="7:23" x14ac:dyDescent="0.25"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</row>
    <row r="923" spans="7:23" x14ac:dyDescent="0.25"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</row>
    <row r="924" spans="7:23" x14ac:dyDescent="0.25"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</row>
    <row r="925" spans="7:23" x14ac:dyDescent="0.25"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</row>
    <row r="926" spans="7:23" x14ac:dyDescent="0.25"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</row>
    <row r="927" spans="7:23" x14ac:dyDescent="0.25"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</row>
    <row r="928" spans="7:23" x14ac:dyDescent="0.25"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</row>
    <row r="929" spans="7:23" x14ac:dyDescent="0.25"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</row>
    <row r="930" spans="7:23" x14ac:dyDescent="0.25"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</row>
    <row r="931" spans="7:23" x14ac:dyDescent="0.25"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</row>
    <row r="932" spans="7:23" x14ac:dyDescent="0.25"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</row>
    <row r="933" spans="7:23" x14ac:dyDescent="0.25"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</row>
    <row r="934" spans="7:23" x14ac:dyDescent="0.25"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</row>
    <row r="935" spans="7:23" x14ac:dyDescent="0.25"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</row>
    <row r="936" spans="7:23" x14ac:dyDescent="0.25"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</row>
    <row r="937" spans="7:23" x14ac:dyDescent="0.25"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</row>
    <row r="938" spans="7:23" x14ac:dyDescent="0.25"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</row>
    <row r="939" spans="7:23" x14ac:dyDescent="0.25"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</row>
    <row r="940" spans="7:23" x14ac:dyDescent="0.25"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</row>
    <row r="941" spans="7:23" x14ac:dyDescent="0.25"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</row>
    <row r="942" spans="7:23" x14ac:dyDescent="0.25"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</row>
    <row r="943" spans="7:23" x14ac:dyDescent="0.25"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</row>
    <row r="944" spans="7:23" x14ac:dyDescent="0.25"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</row>
    <row r="945" spans="7:23" x14ac:dyDescent="0.25"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</row>
    <row r="946" spans="7:23" x14ac:dyDescent="0.25"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</row>
    <row r="947" spans="7:23" x14ac:dyDescent="0.25"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</row>
    <row r="948" spans="7:23" x14ac:dyDescent="0.25"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</row>
    <row r="949" spans="7:23" x14ac:dyDescent="0.25"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</row>
    <row r="950" spans="7:23" x14ac:dyDescent="0.25"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</row>
    <row r="951" spans="7:23" x14ac:dyDescent="0.25"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</row>
    <row r="952" spans="7:23" x14ac:dyDescent="0.25"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</row>
    <row r="953" spans="7:23" x14ac:dyDescent="0.25"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</row>
    <row r="954" spans="7:23" x14ac:dyDescent="0.25"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</row>
    <row r="955" spans="7:23" x14ac:dyDescent="0.25"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</row>
    <row r="956" spans="7:23" x14ac:dyDescent="0.25"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</row>
    <row r="957" spans="7:23" x14ac:dyDescent="0.25"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</row>
    <row r="958" spans="7:23" x14ac:dyDescent="0.25"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</row>
    <row r="959" spans="7:23" x14ac:dyDescent="0.25"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</row>
    <row r="960" spans="7:23" x14ac:dyDescent="0.25"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</row>
    <row r="961" spans="7:23" x14ac:dyDescent="0.25"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</row>
    <row r="962" spans="7:23" x14ac:dyDescent="0.25"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</row>
    <row r="963" spans="7:23" x14ac:dyDescent="0.25"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</row>
    <row r="964" spans="7:23" x14ac:dyDescent="0.25"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</row>
    <row r="965" spans="7:23" x14ac:dyDescent="0.25"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</row>
    <row r="966" spans="7:23" x14ac:dyDescent="0.25"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</row>
    <row r="967" spans="7:23" x14ac:dyDescent="0.25"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</row>
    <row r="968" spans="7:23" x14ac:dyDescent="0.25"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</row>
    <row r="969" spans="7:23" x14ac:dyDescent="0.25"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</row>
    <row r="970" spans="7:23" x14ac:dyDescent="0.25"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</row>
    <row r="971" spans="7:23" x14ac:dyDescent="0.25"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</row>
    <row r="972" spans="7:23" x14ac:dyDescent="0.25"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</row>
    <row r="973" spans="7:23" x14ac:dyDescent="0.25"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</row>
    <row r="974" spans="7:23" x14ac:dyDescent="0.25"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</row>
    <row r="975" spans="7:23" x14ac:dyDescent="0.25"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</row>
    <row r="976" spans="7:23" x14ac:dyDescent="0.25"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</row>
    <row r="977" spans="7:23" x14ac:dyDescent="0.25"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</row>
    <row r="978" spans="7:23" x14ac:dyDescent="0.25"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</row>
    <row r="979" spans="7:23" x14ac:dyDescent="0.25"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</row>
    <row r="980" spans="7:23" x14ac:dyDescent="0.25"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</row>
    <row r="981" spans="7:23" x14ac:dyDescent="0.25"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</row>
    <row r="982" spans="7:23" x14ac:dyDescent="0.25"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</row>
    <row r="983" spans="7:23" x14ac:dyDescent="0.25"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</row>
    <row r="984" spans="7:23" x14ac:dyDescent="0.25"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</row>
    <row r="985" spans="7:23" x14ac:dyDescent="0.25"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</row>
    <row r="986" spans="7:23" x14ac:dyDescent="0.25"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</row>
    <row r="987" spans="7:23" x14ac:dyDescent="0.25"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</row>
    <row r="988" spans="7:23" x14ac:dyDescent="0.25"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</row>
    <row r="989" spans="7:23" x14ac:dyDescent="0.25"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</row>
    <row r="990" spans="7:23" x14ac:dyDescent="0.25"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</row>
    <row r="991" spans="7:23" x14ac:dyDescent="0.25"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</row>
    <row r="992" spans="7:23" x14ac:dyDescent="0.25"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</row>
    <row r="993" spans="7:23" x14ac:dyDescent="0.25"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</row>
    <row r="994" spans="7:23" x14ac:dyDescent="0.25"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</row>
    <row r="995" spans="7:23" x14ac:dyDescent="0.25"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</row>
    <row r="996" spans="7:23" x14ac:dyDescent="0.25"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</row>
    <row r="997" spans="7:23" x14ac:dyDescent="0.25"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</row>
    <row r="998" spans="7:23" x14ac:dyDescent="0.25"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</row>
    <row r="999" spans="7:23" x14ac:dyDescent="0.25"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</row>
    <row r="1000" spans="7:23" x14ac:dyDescent="0.25"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</row>
    <row r="1001" spans="7:23" x14ac:dyDescent="0.25"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</row>
    <row r="1002" spans="7:23" x14ac:dyDescent="0.25"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</row>
    <row r="1003" spans="7:23" x14ac:dyDescent="0.25"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</row>
    <row r="1004" spans="7:23" x14ac:dyDescent="0.25"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</row>
    <row r="1005" spans="7:23" x14ac:dyDescent="0.25"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</row>
    <row r="1006" spans="7:23" x14ac:dyDescent="0.25"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</row>
    <row r="1007" spans="7:23" x14ac:dyDescent="0.25"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</row>
    <row r="1008" spans="7:23" x14ac:dyDescent="0.25"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</row>
    <row r="1009" spans="7:23" x14ac:dyDescent="0.25"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</row>
    <row r="1010" spans="7:23" x14ac:dyDescent="0.25"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</row>
    <row r="1011" spans="7:23" x14ac:dyDescent="0.25"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</row>
    <row r="1012" spans="7:23" x14ac:dyDescent="0.25"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</row>
    <row r="1013" spans="7:23" x14ac:dyDescent="0.25"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</row>
    <row r="1014" spans="7:23" x14ac:dyDescent="0.25"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</row>
    <row r="1015" spans="7:23" x14ac:dyDescent="0.25"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</row>
    <row r="1016" spans="7:23" x14ac:dyDescent="0.25"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</row>
    <row r="1017" spans="7:23" x14ac:dyDescent="0.25"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</row>
    <row r="1018" spans="7:23" x14ac:dyDescent="0.25"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</row>
    <row r="1019" spans="7:23" x14ac:dyDescent="0.25"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</row>
    <row r="1020" spans="7:23" x14ac:dyDescent="0.25"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7:23" x14ac:dyDescent="0.25"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</row>
    <row r="1022" spans="7:23" x14ac:dyDescent="0.25"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</row>
    <row r="1023" spans="7:23" x14ac:dyDescent="0.25"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</row>
    <row r="1024" spans="7:23" x14ac:dyDescent="0.25"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</row>
    <row r="1025" spans="7:23" x14ac:dyDescent="0.25"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</row>
    <row r="1026" spans="7:23" x14ac:dyDescent="0.25"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</row>
    <row r="1027" spans="7:23" x14ac:dyDescent="0.25"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</row>
    <row r="1028" spans="7:23" x14ac:dyDescent="0.25"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</row>
    <row r="1029" spans="7:23" x14ac:dyDescent="0.25"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</row>
    <row r="1030" spans="7:23" x14ac:dyDescent="0.25"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</row>
    <row r="1031" spans="7:23" x14ac:dyDescent="0.25"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</row>
    <row r="1032" spans="7:23" x14ac:dyDescent="0.25"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</row>
    <row r="1033" spans="7:23" x14ac:dyDescent="0.25"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</row>
    <row r="1034" spans="7:23" x14ac:dyDescent="0.25"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</row>
    <row r="1035" spans="7:23" x14ac:dyDescent="0.25"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</row>
    <row r="1036" spans="7:23" x14ac:dyDescent="0.25"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</row>
    <row r="1037" spans="7:23" x14ac:dyDescent="0.25"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</row>
    <row r="1038" spans="7:23" x14ac:dyDescent="0.25"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</row>
    <row r="1039" spans="7:23" x14ac:dyDescent="0.25"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</row>
    <row r="1040" spans="7:23" x14ac:dyDescent="0.25"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</row>
    <row r="1041" spans="7:23" x14ac:dyDescent="0.25"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</row>
    <row r="1042" spans="7:23" x14ac:dyDescent="0.25"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</row>
    <row r="1043" spans="7:23" x14ac:dyDescent="0.25"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</row>
    <row r="1044" spans="7:23" x14ac:dyDescent="0.25"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</row>
    <row r="1045" spans="7:23" x14ac:dyDescent="0.25"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</row>
    <row r="1046" spans="7:23" x14ac:dyDescent="0.25"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</row>
    <row r="1047" spans="7:23" x14ac:dyDescent="0.25"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</row>
    <row r="1048" spans="7:23" x14ac:dyDescent="0.25"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</row>
    <row r="1049" spans="7:23" x14ac:dyDescent="0.25"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</row>
    <row r="1050" spans="7:23" x14ac:dyDescent="0.25"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</row>
    <row r="1051" spans="7:23" x14ac:dyDescent="0.25"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</row>
    <row r="1052" spans="7:23" x14ac:dyDescent="0.25"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</row>
    <row r="1053" spans="7:23" x14ac:dyDescent="0.25"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</row>
    <row r="1054" spans="7:23" x14ac:dyDescent="0.25"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</row>
    <row r="1055" spans="7:23" x14ac:dyDescent="0.25"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</row>
    <row r="1056" spans="7:23" x14ac:dyDescent="0.25"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</row>
    <row r="1057" spans="7:23" x14ac:dyDescent="0.25"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</row>
    <row r="1058" spans="7:23" x14ac:dyDescent="0.25"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</row>
    <row r="1059" spans="7:23" x14ac:dyDescent="0.25"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</row>
    <row r="1060" spans="7:23" x14ac:dyDescent="0.25"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</row>
    <row r="1061" spans="7:23" x14ac:dyDescent="0.25"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</row>
    <row r="1062" spans="7:23" x14ac:dyDescent="0.25"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</row>
    <row r="1063" spans="7:23" x14ac:dyDescent="0.25"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</row>
    <row r="1064" spans="7:23" x14ac:dyDescent="0.25"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</row>
    <row r="1065" spans="7:23" x14ac:dyDescent="0.25"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</row>
    <row r="1066" spans="7:23" x14ac:dyDescent="0.25"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</row>
    <row r="1067" spans="7:23" x14ac:dyDescent="0.25"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</row>
    <row r="1068" spans="7:23" x14ac:dyDescent="0.25"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</row>
    <row r="1069" spans="7:23" x14ac:dyDescent="0.25"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</row>
    <row r="1070" spans="7:23" x14ac:dyDescent="0.25"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</row>
    <row r="1071" spans="7:23" x14ac:dyDescent="0.25"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</row>
    <row r="1072" spans="7:23" x14ac:dyDescent="0.25"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</row>
    <row r="1073" spans="7:23" x14ac:dyDescent="0.25"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</row>
    <row r="1074" spans="7:23" x14ac:dyDescent="0.25"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</row>
    <row r="1075" spans="7:23" x14ac:dyDescent="0.25"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</row>
    <row r="1076" spans="7:23" x14ac:dyDescent="0.25"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</row>
    <row r="1077" spans="7:23" x14ac:dyDescent="0.25"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</row>
    <row r="1078" spans="7:23" x14ac:dyDescent="0.25"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</row>
    <row r="1079" spans="7:23" x14ac:dyDescent="0.25"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</row>
    <row r="1080" spans="7:23" x14ac:dyDescent="0.25"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</row>
    <row r="1081" spans="7:23" x14ac:dyDescent="0.25"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</row>
    <row r="1082" spans="7:23" x14ac:dyDescent="0.25"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</row>
    <row r="1083" spans="7:23" x14ac:dyDescent="0.25"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</row>
    <row r="1084" spans="7:23" x14ac:dyDescent="0.25"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</row>
    <row r="1085" spans="7:23" x14ac:dyDescent="0.25"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</row>
    <row r="1086" spans="7:23" x14ac:dyDescent="0.25"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</row>
    <row r="1087" spans="7:23" x14ac:dyDescent="0.25"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</row>
    <row r="1088" spans="7:23" x14ac:dyDescent="0.25"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</row>
    <row r="1089" spans="7:23" x14ac:dyDescent="0.25"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</row>
    <row r="1090" spans="7:23" x14ac:dyDescent="0.25"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</row>
    <row r="1091" spans="7:23" x14ac:dyDescent="0.25"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</row>
    <row r="1092" spans="7:23" x14ac:dyDescent="0.25"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</row>
    <row r="1093" spans="7:23" x14ac:dyDescent="0.25"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</row>
    <row r="1094" spans="7:23" x14ac:dyDescent="0.25"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</row>
    <row r="1095" spans="7:23" x14ac:dyDescent="0.25"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</row>
    <row r="1096" spans="7:23" x14ac:dyDescent="0.25"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</row>
    <row r="1097" spans="7:23" x14ac:dyDescent="0.25"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</row>
    <row r="1098" spans="7:23" x14ac:dyDescent="0.25"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</row>
    <row r="1099" spans="7:23" x14ac:dyDescent="0.25"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</row>
    <row r="1100" spans="7:23" x14ac:dyDescent="0.25"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</row>
    <row r="1101" spans="7:23" x14ac:dyDescent="0.25"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</row>
    <row r="1102" spans="7:23" x14ac:dyDescent="0.25"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</row>
    <row r="1103" spans="7:23" x14ac:dyDescent="0.25"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</row>
    <row r="1104" spans="7:23" x14ac:dyDescent="0.25"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</row>
    <row r="1105" spans="7:23" x14ac:dyDescent="0.25"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</row>
    <row r="1106" spans="7:23" x14ac:dyDescent="0.25"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</row>
    <row r="1107" spans="7:23" x14ac:dyDescent="0.25"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</row>
    <row r="1108" spans="7:23" x14ac:dyDescent="0.25"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</row>
    <row r="1109" spans="7:23" x14ac:dyDescent="0.25"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</row>
    <row r="1110" spans="7:23" x14ac:dyDescent="0.25"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</row>
    <row r="1111" spans="7:23" x14ac:dyDescent="0.25"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</row>
    <row r="1112" spans="7:23" x14ac:dyDescent="0.25"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</row>
    <row r="1113" spans="7:23" x14ac:dyDescent="0.25"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</row>
    <row r="1114" spans="7:23" x14ac:dyDescent="0.25"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</row>
    <row r="1115" spans="7:23" x14ac:dyDescent="0.25"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</row>
    <row r="1116" spans="7:23" x14ac:dyDescent="0.25"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</row>
    <row r="1117" spans="7:23" x14ac:dyDescent="0.25"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</row>
    <row r="1118" spans="7:23" x14ac:dyDescent="0.25"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</row>
    <row r="1119" spans="7:23" x14ac:dyDescent="0.25"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</row>
    <row r="1120" spans="7:23" x14ac:dyDescent="0.25"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</row>
    <row r="1121" spans="7:23" x14ac:dyDescent="0.25"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</row>
    <row r="1122" spans="7:23" x14ac:dyDescent="0.25"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</row>
    <row r="1123" spans="7:23" x14ac:dyDescent="0.25"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</row>
    <row r="1124" spans="7:23" x14ac:dyDescent="0.25"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</row>
    <row r="1125" spans="7:23" x14ac:dyDescent="0.25"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</row>
    <row r="1126" spans="7:23" x14ac:dyDescent="0.25"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</row>
    <row r="1127" spans="7:23" x14ac:dyDescent="0.25"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</row>
    <row r="1128" spans="7:23" x14ac:dyDescent="0.25"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</row>
    <row r="1129" spans="7:23" x14ac:dyDescent="0.25"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</row>
    <row r="1130" spans="7:23" x14ac:dyDescent="0.25"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</row>
    <row r="1131" spans="7:23" x14ac:dyDescent="0.25"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</row>
    <row r="1132" spans="7:23" x14ac:dyDescent="0.25"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</row>
    <row r="1133" spans="7:23" x14ac:dyDescent="0.25"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</row>
    <row r="1134" spans="7:23" x14ac:dyDescent="0.25"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</row>
    <row r="1135" spans="7:23" x14ac:dyDescent="0.25"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</row>
    <row r="1136" spans="7:23" x14ac:dyDescent="0.25"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</row>
    <row r="1137" spans="7:23" x14ac:dyDescent="0.25"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</row>
    <row r="1138" spans="7:23" x14ac:dyDescent="0.25"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</row>
    <row r="1139" spans="7:23" x14ac:dyDescent="0.25"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</row>
    <row r="1140" spans="7:23" x14ac:dyDescent="0.25"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</row>
    <row r="1141" spans="7:23" x14ac:dyDescent="0.25"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</row>
    <row r="1142" spans="7:23" x14ac:dyDescent="0.25"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</row>
    <row r="1143" spans="7:23" x14ac:dyDescent="0.25"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</row>
    <row r="1144" spans="7:23" x14ac:dyDescent="0.25"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</row>
    <row r="1145" spans="7:23" x14ac:dyDescent="0.25"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</row>
    <row r="1146" spans="7:23" x14ac:dyDescent="0.25"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</row>
    <row r="1147" spans="7:23" x14ac:dyDescent="0.25"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</row>
    <row r="1148" spans="7:23" x14ac:dyDescent="0.25"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</row>
    <row r="1149" spans="7:23" x14ac:dyDescent="0.25"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</row>
    <row r="1150" spans="7:23" x14ac:dyDescent="0.25"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</row>
    <row r="1151" spans="7:23" x14ac:dyDescent="0.25"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</row>
    <row r="1152" spans="7:23" x14ac:dyDescent="0.25"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</row>
    <row r="1153" spans="7:23" x14ac:dyDescent="0.25"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</row>
    <row r="1154" spans="7:23" x14ac:dyDescent="0.25"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</row>
    <row r="1155" spans="7:23" x14ac:dyDescent="0.25"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</row>
    <row r="1156" spans="7:23" x14ac:dyDescent="0.25"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</row>
    <row r="1157" spans="7:23" x14ac:dyDescent="0.25"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</row>
    <row r="1158" spans="7:23" x14ac:dyDescent="0.25"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</row>
    <row r="1159" spans="7:23" x14ac:dyDescent="0.25"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</row>
    <row r="1160" spans="7:23" x14ac:dyDescent="0.25"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</row>
    <row r="1161" spans="7:23" x14ac:dyDescent="0.25"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</row>
    <row r="1162" spans="7:23" x14ac:dyDescent="0.25"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</row>
    <row r="1163" spans="7:23" x14ac:dyDescent="0.25"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</row>
    <row r="1164" spans="7:23" x14ac:dyDescent="0.25"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</row>
    <row r="1165" spans="7:23" x14ac:dyDescent="0.25"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</row>
    <row r="1166" spans="7:23" x14ac:dyDescent="0.25"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</row>
    <row r="1167" spans="7:23" x14ac:dyDescent="0.25"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</row>
    <row r="1168" spans="7:23" x14ac:dyDescent="0.25"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</row>
    <row r="1169" spans="7:23" x14ac:dyDescent="0.25"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</row>
    <row r="1170" spans="7:23" x14ac:dyDescent="0.25"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</row>
    <row r="1171" spans="7:23" x14ac:dyDescent="0.25"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</row>
    <row r="1172" spans="7:23" x14ac:dyDescent="0.25"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</row>
    <row r="1173" spans="7:23" x14ac:dyDescent="0.25"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</row>
    <row r="1174" spans="7:23" x14ac:dyDescent="0.25"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</row>
    <row r="1175" spans="7:23" x14ac:dyDescent="0.25"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</row>
    <row r="1176" spans="7:23" x14ac:dyDescent="0.25"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</row>
    <row r="1177" spans="7:23" x14ac:dyDescent="0.25"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</row>
    <row r="1178" spans="7:23" x14ac:dyDescent="0.25"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</row>
    <row r="1179" spans="7:23" x14ac:dyDescent="0.25"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</row>
    <row r="1180" spans="7:23" x14ac:dyDescent="0.25"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</row>
    <row r="1181" spans="7:23" x14ac:dyDescent="0.25"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</row>
    <row r="1182" spans="7:23" x14ac:dyDescent="0.25"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</row>
    <row r="1183" spans="7:23" x14ac:dyDescent="0.25"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</row>
    <row r="1184" spans="7:23" x14ac:dyDescent="0.25"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</row>
    <row r="1185" spans="7:23" x14ac:dyDescent="0.25"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</row>
    <row r="1186" spans="7:23" x14ac:dyDescent="0.25"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</row>
    <row r="1187" spans="7:23" x14ac:dyDescent="0.25"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</row>
    <row r="1188" spans="7:23" x14ac:dyDescent="0.25"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</row>
    <row r="1189" spans="7:23" x14ac:dyDescent="0.25"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</row>
    <row r="1190" spans="7:23" x14ac:dyDescent="0.25"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</row>
    <row r="1191" spans="7:23" x14ac:dyDescent="0.25"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</row>
    <row r="1192" spans="7:23" x14ac:dyDescent="0.25"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</row>
    <row r="1193" spans="7:23" x14ac:dyDescent="0.25"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</row>
    <row r="1194" spans="7:23" x14ac:dyDescent="0.25"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</row>
    <row r="1195" spans="7:23" x14ac:dyDescent="0.25"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</row>
    <row r="1196" spans="7:23" x14ac:dyDescent="0.25"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</row>
    <row r="1197" spans="7:23" x14ac:dyDescent="0.25"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</row>
    <row r="1198" spans="7:23" x14ac:dyDescent="0.25"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</row>
    <row r="1199" spans="7:23" x14ac:dyDescent="0.25"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</row>
    <row r="1200" spans="7:23" x14ac:dyDescent="0.25"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</row>
    <row r="1201" spans="7:23" x14ac:dyDescent="0.25"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</row>
    <row r="1202" spans="7:23" x14ac:dyDescent="0.25"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</row>
    <row r="1203" spans="7:23" x14ac:dyDescent="0.25"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</row>
    <row r="1204" spans="7:23" x14ac:dyDescent="0.25"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</row>
    <row r="1205" spans="7:23" x14ac:dyDescent="0.25"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</row>
    <row r="1206" spans="7:23" x14ac:dyDescent="0.25"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</row>
    <row r="1207" spans="7:23" x14ac:dyDescent="0.25"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</row>
    <row r="1208" spans="7:23" x14ac:dyDescent="0.25"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</row>
    <row r="1209" spans="7:23" x14ac:dyDescent="0.25"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</row>
    <row r="1210" spans="7:23" x14ac:dyDescent="0.25"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</row>
    <row r="1211" spans="7:23" x14ac:dyDescent="0.25"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</row>
    <row r="1212" spans="7:23" x14ac:dyDescent="0.25"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</row>
    <row r="1213" spans="7:23" x14ac:dyDescent="0.25"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</row>
    <row r="1214" spans="7:23" x14ac:dyDescent="0.25"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</row>
    <row r="1215" spans="7:23" x14ac:dyDescent="0.25"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</row>
    <row r="1216" spans="7:23" x14ac:dyDescent="0.25"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</row>
    <row r="1217" spans="7:23" x14ac:dyDescent="0.25"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</row>
    <row r="1218" spans="7:23" x14ac:dyDescent="0.25"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</row>
    <row r="1219" spans="7:23" x14ac:dyDescent="0.25"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</row>
    <row r="1220" spans="7:23" x14ac:dyDescent="0.25"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</row>
    <row r="1221" spans="7:23" x14ac:dyDescent="0.25"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</row>
    <row r="1222" spans="7:23" x14ac:dyDescent="0.25"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</row>
    <row r="1223" spans="7:23" x14ac:dyDescent="0.25"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</row>
    <row r="1224" spans="7:23" x14ac:dyDescent="0.25"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</row>
    <row r="1225" spans="7:23" x14ac:dyDescent="0.25"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</row>
    <row r="1226" spans="7:23" x14ac:dyDescent="0.25"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</row>
    <row r="1227" spans="7:23" x14ac:dyDescent="0.25"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</row>
    <row r="1228" spans="7:23" x14ac:dyDescent="0.25"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</row>
    <row r="1229" spans="7:23" x14ac:dyDescent="0.25"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</row>
    <row r="1230" spans="7:23" x14ac:dyDescent="0.25"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</row>
    <row r="1231" spans="7:23" x14ac:dyDescent="0.25"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</row>
    <row r="1232" spans="7:23" x14ac:dyDescent="0.25"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</row>
    <row r="1233" spans="7:23" x14ac:dyDescent="0.25"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</row>
    <row r="1234" spans="7:23" x14ac:dyDescent="0.25"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</row>
    <row r="1235" spans="7:23" x14ac:dyDescent="0.25"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</row>
    <row r="1236" spans="7:23" x14ac:dyDescent="0.25"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</row>
    <row r="1237" spans="7:23" x14ac:dyDescent="0.25"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</row>
    <row r="1238" spans="7:23" x14ac:dyDescent="0.25"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</row>
    <row r="1239" spans="7:23" x14ac:dyDescent="0.25"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</row>
    <row r="1240" spans="7:23" x14ac:dyDescent="0.25"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</row>
    <row r="1241" spans="7:23" x14ac:dyDescent="0.25"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</row>
    <row r="1242" spans="7:23" x14ac:dyDescent="0.25"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</row>
    <row r="1243" spans="7:23" x14ac:dyDescent="0.25"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</row>
    <row r="1244" spans="7:23" x14ac:dyDescent="0.25"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</row>
    <row r="1245" spans="7:23" x14ac:dyDescent="0.25"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</row>
    <row r="1246" spans="7:23" x14ac:dyDescent="0.25"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</row>
    <row r="1247" spans="7:23" x14ac:dyDescent="0.25"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</row>
    <row r="1248" spans="7:23" x14ac:dyDescent="0.25"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</row>
    <row r="1249" spans="7:23" x14ac:dyDescent="0.25"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</row>
    <row r="1250" spans="7:23" x14ac:dyDescent="0.25"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</row>
    <row r="1251" spans="7:23" x14ac:dyDescent="0.25"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</row>
    <row r="1252" spans="7:23" x14ac:dyDescent="0.25"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</row>
    <row r="1253" spans="7:23" x14ac:dyDescent="0.25"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</row>
    <row r="1254" spans="7:23" x14ac:dyDescent="0.25"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</row>
    <row r="1255" spans="7:23" x14ac:dyDescent="0.25"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</row>
    <row r="1256" spans="7:23" x14ac:dyDescent="0.25"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</row>
    <row r="1257" spans="7:23" x14ac:dyDescent="0.25"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</row>
    <row r="1258" spans="7:23" x14ac:dyDescent="0.25"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</row>
    <row r="1259" spans="7:23" x14ac:dyDescent="0.25"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</row>
    <row r="1260" spans="7:23" x14ac:dyDescent="0.25"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</row>
    <row r="1261" spans="7:23" x14ac:dyDescent="0.25"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</row>
    <row r="1262" spans="7:23" x14ac:dyDescent="0.25"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</row>
    <row r="1263" spans="7:23" x14ac:dyDescent="0.25"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</row>
    <row r="1264" spans="7:23" x14ac:dyDescent="0.25"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</row>
    <row r="1265" spans="7:23" x14ac:dyDescent="0.25"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</row>
    <row r="1266" spans="7:23" x14ac:dyDescent="0.25"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</row>
    <row r="1267" spans="7:23" x14ac:dyDescent="0.25"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</row>
    <row r="1268" spans="7:23" x14ac:dyDescent="0.25"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</row>
    <row r="1269" spans="7:23" x14ac:dyDescent="0.25"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</row>
    <row r="1270" spans="7:23" x14ac:dyDescent="0.25"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</row>
    <row r="1271" spans="7:23" x14ac:dyDescent="0.25"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</row>
    <row r="1272" spans="7:23" x14ac:dyDescent="0.25"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</row>
    <row r="1273" spans="7:23" x14ac:dyDescent="0.25"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</row>
    <row r="1274" spans="7:23" x14ac:dyDescent="0.25"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</row>
    <row r="1275" spans="7:23" x14ac:dyDescent="0.25"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</row>
    <row r="1276" spans="7:23" x14ac:dyDescent="0.25"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</row>
    <row r="1277" spans="7:23" x14ac:dyDescent="0.25"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</row>
    <row r="1278" spans="7:23" x14ac:dyDescent="0.25"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</row>
    <row r="1279" spans="7:23" x14ac:dyDescent="0.25"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</row>
    <row r="1280" spans="7:23" x14ac:dyDescent="0.25"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</row>
    <row r="1281" spans="7:23" x14ac:dyDescent="0.25"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</row>
    <row r="1282" spans="7:23" x14ac:dyDescent="0.25"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</row>
    <row r="1283" spans="7:23" x14ac:dyDescent="0.25"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</row>
    <row r="1284" spans="7:23" x14ac:dyDescent="0.25"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</row>
    <row r="1285" spans="7:23" x14ac:dyDescent="0.25"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</row>
    <row r="1286" spans="7:23" x14ac:dyDescent="0.25"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</row>
    <row r="1287" spans="7:23" x14ac:dyDescent="0.25"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</row>
    <row r="1288" spans="7:23" x14ac:dyDescent="0.25"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</row>
    <row r="1289" spans="7:23" x14ac:dyDescent="0.25"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</row>
    <row r="1290" spans="7:23" x14ac:dyDescent="0.25"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</row>
    <row r="1291" spans="7:23" x14ac:dyDescent="0.25"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</row>
    <row r="1292" spans="7:23" x14ac:dyDescent="0.25"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</row>
    <row r="1293" spans="7:23" x14ac:dyDescent="0.25"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</row>
    <row r="1294" spans="7:23" x14ac:dyDescent="0.25"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</row>
    <row r="1295" spans="7:23" x14ac:dyDescent="0.25"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</row>
    <row r="1296" spans="7:23" x14ac:dyDescent="0.25"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</row>
    <row r="1297" spans="7:23" x14ac:dyDescent="0.25"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</row>
    <row r="1298" spans="7:23" x14ac:dyDescent="0.25"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</row>
    <row r="1299" spans="7:23" x14ac:dyDescent="0.25"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</row>
    <row r="1300" spans="7:23" x14ac:dyDescent="0.25"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</row>
    <row r="1301" spans="7:23" x14ac:dyDescent="0.25"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</row>
    <row r="1302" spans="7:23" x14ac:dyDescent="0.25"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</row>
    <row r="1303" spans="7:23" x14ac:dyDescent="0.25"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</row>
    <row r="1304" spans="7:23" x14ac:dyDescent="0.25"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</row>
    <row r="1305" spans="7:23" x14ac:dyDescent="0.25"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</row>
    <row r="1306" spans="7:23" x14ac:dyDescent="0.25"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</row>
    <row r="1307" spans="7:23" x14ac:dyDescent="0.25"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</row>
    <row r="1308" spans="7:23" x14ac:dyDescent="0.25"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</row>
    <row r="1309" spans="7:23" x14ac:dyDescent="0.25"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</row>
    <row r="1310" spans="7:23" x14ac:dyDescent="0.25"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</row>
    <row r="1311" spans="7:23" x14ac:dyDescent="0.25"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</row>
    <row r="1312" spans="7:23" x14ac:dyDescent="0.25"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</row>
    <row r="1313" spans="7:23" x14ac:dyDescent="0.25"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</row>
    <row r="1314" spans="7:23" x14ac:dyDescent="0.25"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</row>
    <row r="1315" spans="7:23" x14ac:dyDescent="0.25"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</row>
    <row r="1316" spans="7:23" x14ac:dyDescent="0.25"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</row>
    <row r="1317" spans="7:23" x14ac:dyDescent="0.25"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</row>
    <row r="1318" spans="7:23" x14ac:dyDescent="0.25"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</row>
    <row r="1319" spans="7:23" x14ac:dyDescent="0.25"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</row>
    <row r="1320" spans="7:23" x14ac:dyDescent="0.25"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</row>
    <row r="1321" spans="7:23" x14ac:dyDescent="0.25"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</row>
    <row r="1322" spans="7:23" x14ac:dyDescent="0.25"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</row>
    <row r="1323" spans="7:23" x14ac:dyDescent="0.25"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</row>
    <row r="1324" spans="7:23" x14ac:dyDescent="0.25"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</row>
    <row r="1325" spans="7:23" x14ac:dyDescent="0.25"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</row>
    <row r="1326" spans="7:23" x14ac:dyDescent="0.25"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</row>
    <row r="1327" spans="7:23" x14ac:dyDescent="0.25"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</row>
    <row r="1328" spans="7:23" x14ac:dyDescent="0.25"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</row>
    <row r="1329" spans="7:23" x14ac:dyDescent="0.25"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</row>
    <row r="1330" spans="7:23" x14ac:dyDescent="0.25"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</row>
    <row r="1331" spans="7:23" x14ac:dyDescent="0.25"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</row>
    <row r="1332" spans="7:23" x14ac:dyDescent="0.25"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</row>
    <row r="1333" spans="7:23" x14ac:dyDescent="0.25"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</row>
    <row r="1334" spans="7:23" x14ac:dyDescent="0.25"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</row>
    <row r="1335" spans="7:23" x14ac:dyDescent="0.25"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</row>
    <row r="1336" spans="7:23" x14ac:dyDescent="0.25"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</row>
    <row r="1337" spans="7:23" x14ac:dyDescent="0.25"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</row>
    <row r="1338" spans="7:23" x14ac:dyDescent="0.25"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</row>
    <row r="1339" spans="7:23" x14ac:dyDescent="0.25"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</row>
    <row r="1340" spans="7:23" x14ac:dyDescent="0.25"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</row>
    <row r="1341" spans="7:23" x14ac:dyDescent="0.25"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</row>
    <row r="1342" spans="7:23" x14ac:dyDescent="0.25"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</row>
    <row r="1343" spans="7:23" x14ac:dyDescent="0.25"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</row>
    <row r="1344" spans="7:23" x14ac:dyDescent="0.25"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</row>
    <row r="1345" spans="7:23" x14ac:dyDescent="0.25"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</row>
    <row r="1346" spans="7:23" x14ac:dyDescent="0.25"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</row>
    <row r="1347" spans="7:23" x14ac:dyDescent="0.25"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</row>
    <row r="1348" spans="7:23" x14ac:dyDescent="0.25"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</row>
    <row r="1349" spans="7:23" x14ac:dyDescent="0.25"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</row>
    <row r="1350" spans="7:23" x14ac:dyDescent="0.25"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</row>
    <row r="1351" spans="7:23" x14ac:dyDescent="0.25"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</row>
    <row r="1352" spans="7:23" x14ac:dyDescent="0.25"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</row>
    <row r="1353" spans="7:23" x14ac:dyDescent="0.25"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</row>
    <row r="1354" spans="7:23" x14ac:dyDescent="0.25"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</row>
    <row r="1355" spans="7:23" x14ac:dyDescent="0.25"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</row>
    <row r="1356" spans="7:23" x14ac:dyDescent="0.25"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</row>
    <row r="1357" spans="7:23" x14ac:dyDescent="0.25"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</row>
    <row r="1358" spans="7:23" x14ac:dyDescent="0.25"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</row>
    <row r="1359" spans="7:23" x14ac:dyDescent="0.25"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</row>
    <row r="1360" spans="7:23" x14ac:dyDescent="0.25"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</row>
    <row r="1361" spans="7:23" x14ac:dyDescent="0.25"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</row>
    <row r="1362" spans="7:23" x14ac:dyDescent="0.25"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</row>
    <row r="1363" spans="7:23" x14ac:dyDescent="0.25"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</row>
    <row r="1364" spans="7:23" x14ac:dyDescent="0.25"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</row>
    <row r="1365" spans="7:23" x14ac:dyDescent="0.25"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</row>
    <row r="1366" spans="7:23" x14ac:dyDescent="0.25"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</row>
    <row r="1367" spans="7:23" x14ac:dyDescent="0.25"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</row>
    <row r="1368" spans="7:23" x14ac:dyDescent="0.25"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</row>
    <row r="1369" spans="7:23" x14ac:dyDescent="0.25"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</row>
    <row r="1370" spans="7:23" x14ac:dyDescent="0.25"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</row>
    <row r="1371" spans="7:23" x14ac:dyDescent="0.25"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</row>
    <row r="1372" spans="7:23" x14ac:dyDescent="0.25"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</row>
    <row r="1373" spans="7:23" x14ac:dyDescent="0.25"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</row>
    <row r="1374" spans="7:23" x14ac:dyDescent="0.25"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</row>
    <row r="1375" spans="7:23" x14ac:dyDescent="0.25"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</row>
    <row r="1376" spans="7:23" x14ac:dyDescent="0.25"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</row>
    <row r="1377" spans="7:23" x14ac:dyDescent="0.25"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</row>
    <row r="1378" spans="7:23" x14ac:dyDescent="0.25"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</row>
    <row r="1379" spans="7:23" x14ac:dyDescent="0.25"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</row>
    <row r="1380" spans="7:23" x14ac:dyDescent="0.25"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</row>
    <row r="1381" spans="7:23" x14ac:dyDescent="0.25"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</row>
    <row r="1382" spans="7:23" x14ac:dyDescent="0.25"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</row>
    <row r="1383" spans="7:23" x14ac:dyDescent="0.25"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</row>
    <row r="1384" spans="7:23" x14ac:dyDescent="0.25"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</row>
    <row r="1385" spans="7:23" x14ac:dyDescent="0.25"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</row>
    <row r="1386" spans="7:23" x14ac:dyDescent="0.25"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</row>
    <row r="1387" spans="7:23" x14ac:dyDescent="0.25"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</row>
    <row r="1388" spans="7:23" x14ac:dyDescent="0.25"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</row>
    <row r="1389" spans="7:23" x14ac:dyDescent="0.25"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</row>
    <row r="1390" spans="7:23" x14ac:dyDescent="0.25"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</row>
    <row r="1391" spans="7:23" x14ac:dyDescent="0.25"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</row>
    <row r="1392" spans="7:23" x14ac:dyDescent="0.25"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</row>
    <row r="1393" spans="7:23" x14ac:dyDescent="0.25"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</row>
    <row r="1394" spans="7:23" x14ac:dyDescent="0.25"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</row>
    <row r="1395" spans="7:23" x14ac:dyDescent="0.25"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</row>
    <row r="1396" spans="7:23" x14ac:dyDescent="0.25"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</row>
    <row r="1397" spans="7:23" x14ac:dyDescent="0.25"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</row>
    <row r="1398" spans="7:23" x14ac:dyDescent="0.25"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</row>
    <row r="1399" spans="7:23" x14ac:dyDescent="0.25"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</row>
    <row r="1400" spans="7:23" x14ac:dyDescent="0.25"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</row>
    <row r="1401" spans="7:23" x14ac:dyDescent="0.25"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</row>
    <row r="1402" spans="7:23" x14ac:dyDescent="0.25"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</row>
    <row r="1403" spans="7:23" x14ac:dyDescent="0.25"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</row>
    <row r="1404" spans="7:23" x14ac:dyDescent="0.25"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</row>
    <row r="1405" spans="7:23" x14ac:dyDescent="0.25"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</row>
    <row r="1406" spans="7:23" x14ac:dyDescent="0.25"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</row>
    <row r="1407" spans="7:23" x14ac:dyDescent="0.25"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</row>
    <row r="1408" spans="7:23" x14ac:dyDescent="0.25"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</row>
    <row r="1409" spans="7:23" x14ac:dyDescent="0.25"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</row>
    <row r="1410" spans="7:23" x14ac:dyDescent="0.25"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</row>
    <row r="1411" spans="7:23" x14ac:dyDescent="0.25"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</row>
    <row r="1412" spans="7:23" x14ac:dyDescent="0.25"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</row>
    <row r="1413" spans="7:23" x14ac:dyDescent="0.25"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</row>
    <row r="1414" spans="7:23" x14ac:dyDescent="0.25"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</row>
    <row r="1415" spans="7:23" x14ac:dyDescent="0.25"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</row>
    <row r="1416" spans="7:23" x14ac:dyDescent="0.25"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</row>
    <row r="1417" spans="7:23" x14ac:dyDescent="0.25"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</row>
    <row r="1418" spans="7:23" x14ac:dyDescent="0.25"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</row>
    <row r="1419" spans="7:23" x14ac:dyDescent="0.25"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</row>
    <row r="1420" spans="7:23" x14ac:dyDescent="0.25"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</row>
    <row r="1421" spans="7:23" x14ac:dyDescent="0.25"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</row>
    <row r="1422" spans="7:23" x14ac:dyDescent="0.25"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</row>
    <row r="1423" spans="7:23" x14ac:dyDescent="0.25"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</row>
    <row r="1424" spans="7:23" x14ac:dyDescent="0.25"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</row>
    <row r="1425" spans="7:23" x14ac:dyDescent="0.25"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</row>
    <row r="1426" spans="7:23" x14ac:dyDescent="0.25"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</row>
    <row r="1427" spans="7:23" x14ac:dyDescent="0.25"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</row>
    <row r="1428" spans="7:23" x14ac:dyDescent="0.25"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</row>
    <row r="1429" spans="7:23" x14ac:dyDescent="0.25"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</row>
    <row r="1430" spans="7:23" x14ac:dyDescent="0.25"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</row>
    <row r="1431" spans="7:23" x14ac:dyDescent="0.25"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</row>
    <row r="1432" spans="7:23" x14ac:dyDescent="0.25"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</row>
    <row r="1433" spans="7:23" x14ac:dyDescent="0.25"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</row>
    <row r="1434" spans="7:23" x14ac:dyDescent="0.25"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</row>
    <row r="1435" spans="7:23" x14ac:dyDescent="0.25"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</row>
    <row r="1436" spans="7:23" x14ac:dyDescent="0.25"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</row>
    <row r="1437" spans="7:23" x14ac:dyDescent="0.25"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</row>
    <row r="1438" spans="7:23" x14ac:dyDescent="0.25"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</row>
    <row r="1439" spans="7:23" x14ac:dyDescent="0.25"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</row>
    <row r="1440" spans="7:23" x14ac:dyDescent="0.25"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</row>
    <row r="1441" spans="7:23" x14ac:dyDescent="0.25"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</row>
    <row r="1442" spans="7:23" x14ac:dyDescent="0.25"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</row>
    <row r="1443" spans="7:23" x14ac:dyDescent="0.25"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</row>
    <row r="1444" spans="7:23" x14ac:dyDescent="0.25"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</row>
    <row r="1445" spans="7:23" x14ac:dyDescent="0.25"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</row>
    <row r="1446" spans="7:23" x14ac:dyDescent="0.25"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</row>
    <row r="1447" spans="7:23" x14ac:dyDescent="0.25"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</row>
    <row r="1448" spans="7:23" x14ac:dyDescent="0.25"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</row>
    <row r="1449" spans="7:23" x14ac:dyDescent="0.25"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</row>
    <row r="1450" spans="7:23" x14ac:dyDescent="0.25"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</row>
    <row r="1451" spans="7:23" x14ac:dyDescent="0.25"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</row>
    <row r="1452" spans="7:23" x14ac:dyDescent="0.25"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</row>
    <row r="1453" spans="7:23" x14ac:dyDescent="0.25"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</row>
    <row r="1454" spans="7:23" x14ac:dyDescent="0.25"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</row>
    <row r="1455" spans="7:23" x14ac:dyDescent="0.25"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</row>
    <row r="1456" spans="7:23" x14ac:dyDescent="0.25"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</row>
    <row r="1457" spans="7:23" x14ac:dyDescent="0.25"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</row>
    <row r="1458" spans="7:23" x14ac:dyDescent="0.25"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</row>
    <row r="1459" spans="7:23" x14ac:dyDescent="0.25"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</row>
    <row r="1460" spans="7:23" x14ac:dyDescent="0.25"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</row>
    <row r="1461" spans="7:23" x14ac:dyDescent="0.25"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</row>
    <row r="1462" spans="7:23" x14ac:dyDescent="0.25"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</row>
    <row r="1463" spans="7:23" x14ac:dyDescent="0.25"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</row>
    <row r="1464" spans="7:23" x14ac:dyDescent="0.25"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</row>
    <row r="1465" spans="7:23" x14ac:dyDescent="0.25"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</row>
    <row r="1466" spans="7:23" x14ac:dyDescent="0.25"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</row>
    <row r="1467" spans="7:23" x14ac:dyDescent="0.25"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</row>
    <row r="1468" spans="7:23" x14ac:dyDescent="0.25"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</row>
    <row r="1469" spans="7:23" x14ac:dyDescent="0.25"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</row>
    <row r="1470" spans="7:23" x14ac:dyDescent="0.25"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</row>
    <row r="1471" spans="7:23" x14ac:dyDescent="0.25"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</row>
    <row r="1472" spans="7:23" x14ac:dyDescent="0.25"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</row>
    <row r="1473" spans="7:23" x14ac:dyDescent="0.25"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</row>
    <row r="1474" spans="7:23" x14ac:dyDescent="0.25"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</row>
    <row r="1475" spans="7:23" x14ac:dyDescent="0.25"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</row>
    <row r="1476" spans="7:23" x14ac:dyDescent="0.25"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</row>
    <row r="1477" spans="7:23" x14ac:dyDescent="0.25"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</row>
    <row r="1478" spans="7:23" x14ac:dyDescent="0.25"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</row>
    <row r="1479" spans="7:23" x14ac:dyDescent="0.25"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</row>
    <row r="1480" spans="7:23" x14ac:dyDescent="0.25"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</row>
    <row r="1481" spans="7:23" x14ac:dyDescent="0.25"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</row>
    <row r="1482" spans="7:23" x14ac:dyDescent="0.25"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</row>
    <row r="1483" spans="7:23" x14ac:dyDescent="0.25"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</row>
    <row r="1484" spans="7:23" x14ac:dyDescent="0.25"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</row>
    <row r="1485" spans="7:23" x14ac:dyDescent="0.25"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</row>
    <row r="1486" spans="7:23" x14ac:dyDescent="0.25"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</row>
    <row r="1487" spans="7:23" x14ac:dyDescent="0.25"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</row>
    <row r="1488" spans="7:23" x14ac:dyDescent="0.25"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</row>
    <row r="1489" spans="7:23" x14ac:dyDescent="0.25"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</row>
    <row r="1490" spans="7:23" x14ac:dyDescent="0.25"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</row>
    <row r="1491" spans="7:23" x14ac:dyDescent="0.25"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</row>
    <row r="1492" spans="7:23" x14ac:dyDescent="0.25"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</row>
    <row r="1493" spans="7:23" x14ac:dyDescent="0.25"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</row>
    <row r="1494" spans="7:23" x14ac:dyDescent="0.25"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</row>
    <row r="1495" spans="7:23" x14ac:dyDescent="0.25"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</row>
    <row r="1496" spans="7:23" x14ac:dyDescent="0.25"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</row>
    <row r="1497" spans="7:23" x14ac:dyDescent="0.25"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</row>
    <row r="1498" spans="7:23" x14ac:dyDescent="0.25"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</row>
    <row r="1499" spans="7:23" x14ac:dyDescent="0.25"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</row>
    <row r="1500" spans="7:23" x14ac:dyDescent="0.25"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</row>
    <row r="1501" spans="7:23" x14ac:dyDescent="0.25"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</row>
    <row r="1502" spans="7:23" x14ac:dyDescent="0.25"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</row>
    <row r="1503" spans="7:23" x14ac:dyDescent="0.25"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</row>
    <row r="1504" spans="7:23" x14ac:dyDescent="0.25"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</row>
    <row r="1505" spans="7:23" x14ac:dyDescent="0.25"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</row>
    <row r="1506" spans="7:23" x14ac:dyDescent="0.25"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</row>
    <row r="1507" spans="7:23" x14ac:dyDescent="0.25"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</row>
    <row r="1508" spans="7:23" x14ac:dyDescent="0.25"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</row>
    <row r="1509" spans="7:23" x14ac:dyDescent="0.25"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</row>
    <row r="1510" spans="7:23" x14ac:dyDescent="0.25"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</row>
    <row r="1511" spans="7:23" x14ac:dyDescent="0.25"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</row>
    <row r="1512" spans="7:23" x14ac:dyDescent="0.25"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</row>
    <row r="1513" spans="7:23" x14ac:dyDescent="0.25"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</row>
    <row r="1514" spans="7:23" x14ac:dyDescent="0.25"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</row>
    <row r="1515" spans="7:23" x14ac:dyDescent="0.25"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</row>
    <row r="1516" spans="7:23" x14ac:dyDescent="0.25"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</row>
    <row r="1517" spans="7:23" x14ac:dyDescent="0.25"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</row>
    <row r="1518" spans="7:23" x14ac:dyDescent="0.25"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</row>
    <row r="1519" spans="7:23" x14ac:dyDescent="0.25"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</row>
    <row r="1520" spans="7:23" x14ac:dyDescent="0.25"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</row>
    <row r="1521" spans="7:23" x14ac:dyDescent="0.25"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</row>
    <row r="1522" spans="7:23" x14ac:dyDescent="0.25"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</row>
    <row r="1523" spans="7:23" x14ac:dyDescent="0.25"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</row>
    <row r="1524" spans="7:23" x14ac:dyDescent="0.25"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</row>
    <row r="1525" spans="7:23" x14ac:dyDescent="0.25"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</row>
    <row r="1526" spans="7:23" x14ac:dyDescent="0.25"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</row>
    <row r="1527" spans="7:23" x14ac:dyDescent="0.25"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</row>
    <row r="1528" spans="7:23" x14ac:dyDescent="0.25"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</row>
    <row r="1529" spans="7:23" x14ac:dyDescent="0.25"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</row>
    <row r="1530" spans="7:23" x14ac:dyDescent="0.25"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</row>
    <row r="1531" spans="7:23" x14ac:dyDescent="0.25"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</row>
    <row r="1532" spans="7:23" x14ac:dyDescent="0.25"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</row>
    <row r="1533" spans="7:23" x14ac:dyDescent="0.25"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</row>
    <row r="1534" spans="7:23" x14ac:dyDescent="0.25"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</row>
    <row r="1535" spans="7:23" x14ac:dyDescent="0.25"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</row>
    <row r="1536" spans="7:23" x14ac:dyDescent="0.25"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</row>
    <row r="1537" spans="7:23" x14ac:dyDescent="0.25"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</row>
    <row r="1538" spans="7:23" x14ac:dyDescent="0.25"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</row>
    <row r="1539" spans="7:23" x14ac:dyDescent="0.25"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</row>
    <row r="1540" spans="7:23" x14ac:dyDescent="0.25"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</row>
    <row r="1541" spans="7:23" x14ac:dyDescent="0.25"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</row>
    <row r="1542" spans="7:23" x14ac:dyDescent="0.25"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</row>
    <row r="1543" spans="7:23" x14ac:dyDescent="0.25"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</row>
    <row r="1544" spans="7:23" x14ac:dyDescent="0.25"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</row>
    <row r="1545" spans="7:23" x14ac:dyDescent="0.25"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</row>
    <row r="1546" spans="7:23" x14ac:dyDescent="0.25"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</row>
    <row r="1547" spans="7:23" x14ac:dyDescent="0.25"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</row>
    <row r="1548" spans="7:23" x14ac:dyDescent="0.25"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</row>
    <row r="1549" spans="7:23" x14ac:dyDescent="0.25"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</row>
    <row r="1550" spans="7:23" x14ac:dyDescent="0.25"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</row>
    <row r="1551" spans="7:23" x14ac:dyDescent="0.25"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</row>
    <row r="1552" spans="7:23" x14ac:dyDescent="0.25"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</row>
    <row r="1553" spans="7:23" x14ac:dyDescent="0.25"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</row>
    <row r="1554" spans="7:23" x14ac:dyDescent="0.25"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</row>
    <row r="1555" spans="7:23" x14ac:dyDescent="0.25"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</row>
    <row r="1556" spans="7:23" x14ac:dyDescent="0.25"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</row>
    <row r="1557" spans="7:23" x14ac:dyDescent="0.25"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</row>
    <row r="1558" spans="7:23" x14ac:dyDescent="0.25"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</row>
    <row r="1559" spans="7:23" x14ac:dyDescent="0.25"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</row>
    <row r="1560" spans="7:23" x14ac:dyDescent="0.25"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</row>
    <row r="1561" spans="7:23" x14ac:dyDescent="0.25"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</row>
    <row r="1562" spans="7:23" x14ac:dyDescent="0.25"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</row>
    <row r="1563" spans="7:23" x14ac:dyDescent="0.25"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</row>
    <row r="1564" spans="7:23" x14ac:dyDescent="0.25"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</row>
    <row r="1565" spans="7:23" x14ac:dyDescent="0.25"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</row>
    <row r="1566" spans="7:23" x14ac:dyDescent="0.25"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</row>
    <row r="1567" spans="7:23" x14ac:dyDescent="0.25"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</row>
    <row r="1568" spans="7:23" x14ac:dyDescent="0.25"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</row>
    <row r="1569" spans="7:23" x14ac:dyDescent="0.25"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</row>
    <row r="1570" spans="7:23" x14ac:dyDescent="0.25"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</row>
    <row r="1571" spans="7:23" x14ac:dyDescent="0.25"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</row>
    <row r="1572" spans="7:23" x14ac:dyDescent="0.25"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</row>
    <row r="1573" spans="7:23" x14ac:dyDescent="0.25"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</row>
    <row r="1574" spans="7:23" x14ac:dyDescent="0.25"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</row>
    <row r="1575" spans="7:23" x14ac:dyDescent="0.25"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</row>
    <row r="1576" spans="7:23" x14ac:dyDescent="0.25"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</row>
    <row r="1577" spans="7:23" x14ac:dyDescent="0.25"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</row>
    <row r="1578" spans="7:23" x14ac:dyDescent="0.25"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</row>
    <row r="1579" spans="7:23" x14ac:dyDescent="0.25"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</row>
    <row r="1580" spans="7:23" x14ac:dyDescent="0.25"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</row>
    <row r="1581" spans="7:23" x14ac:dyDescent="0.25"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</row>
    <row r="1582" spans="7:23" x14ac:dyDescent="0.25"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</row>
    <row r="1583" spans="7:23" x14ac:dyDescent="0.25"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</row>
    <row r="1584" spans="7:23" x14ac:dyDescent="0.25"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</row>
    <row r="1585" spans="7:23" x14ac:dyDescent="0.25"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</row>
    <row r="1586" spans="7:23" x14ac:dyDescent="0.25"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</row>
    <row r="1587" spans="7:23" x14ac:dyDescent="0.25"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</row>
    <row r="1588" spans="7:23" x14ac:dyDescent="0.25"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</row>
    <row r="1589" spans="7:23" x14ac:dyDescent="0.25"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</row>
    <row r="1590" spans="7:23" x14ac:dyDescent="0.25"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</row>
    <row r="1591" spans="7:23" x14ac:dyDescent="0.25"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</row>
    <row r="1592" spans="7:23" x14ac:dyDescent="0.25"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</row>
    <row r="1593" spans="7:23" x14ac:dyDescent="0.25"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</row>
    <row r="1594" spans="7:23" x14ac:dyDescent="0.25"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</row>
    <row r="1595" spans="7:23" x14ac:dyDescent="0.25"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</row>
    <row r="1596" spans="7:23" x14ac:dyDescent="0.25"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</row>
    <row r="1597" spans="7:23" x14ac:dyDescent="0.25"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</row>
    <row r="1598" spans="7:23" x14ac:dyDescent="0.25"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</row>
    <row r="1599" spans="7:23" x14ac:dyDescent="0.25"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</row>
    <row r="1600" spans="7:23" x14ac:dyDescent="0.25"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</row>
    <row r="1601" spans="7:23" x14ac:dyDescent="0.25"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</row>
    <row r="1602" spans="7:23" x14ac:dyDescent="0.25"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</row>
    <row r="1603" spans="7:23" x14ac:dyDescent="0.25"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</row>
    <row r="1604" spans="7:23" x14ac:dyDescent="0.25"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</row>
    <row r="1605" spans="7:23" x14ac:dyDescent="0.25"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</row>
    <row r="1606" spans="7:23" x14ac:dyDescent="0.25"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</row>
    <row r="1607" spans="7:23" x14ac:dyDescent="0.25"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</row>
    <row r="1608" spans="7:23" x14ac:dyDescent="0.25"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</row>
    <row r="1609" spans="7:23" x14ac:dyDescent="0.25"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</row>
    <row r="1610" spans="7:23" x14ac:dyDescent="0.25"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</row>
    <row r="1611" spans="7:23" x14ac:dyDescent="0.25"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</row>
    <row r="1612" spans="7:23" x14ac:dyDescent="0.25"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</row>
    <row r="1613" spans="7:23" x14ac:dyDescent="0.25"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</row>
    <row r="1614" spans="7:23" x14ac:dyDescent="0.25"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</row>
    <row r="1615" spans="7:23" x14ac:dyDescent="0.25"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</row>
    <row r="1616" spans="7:23" x14ac:dyDescent="0.25"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</row>
    <row r="1617" spans="7:23" x14ac:dyDescent="0.25"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</row>
    <row r="1618" spans="7:23" x14ac:dyDescent="0.25"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</row>
    <row r="1619" spans="7:23" x14ac:dyDescent="0.25"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</row>
    <row r="1620" spans="7:23" x14ac:dyDescent="0.25"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</row>
    <row r="1621" spans="7:23" x14ac:dyDescent="0.25"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</row>
    <row r="1622" spans="7:23" x14ac:dyDescent="0.25"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</row>
    <row r="1623" spans="7:23" x14ac:dyDescent="0.25"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</row>
    <row r="1624" spans="7:23" x14ac:dyDescent="0.25"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</row>
    <row r="1625" spans="7:23" x14ac:dyDescent="0.25"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</row>
    <row r="1626" spans="7:23" x14ac:dyDescent="0.25"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</row>
    <row r="1627" spans="7:23" x14ac:dyDescent="0.25"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</row>
    <row r="1628" spans="7:23" x14ac:dyDescent="0.25"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</row>
    <row r="1629" spans="7:23" x14ac:dyDescent="0.25"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</row>
    <row r="1630" spans="7:23" x14ac:dyDescent="0.25"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</row>
    <row r="1631" spans="7:23" x14ac:dyDescent="0.25"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</row>
    <row r="1632" spans="7:23" x14ac:dyDescent="0.25"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</row>
    <row r="1633" spans="7:23" x14ac:dyDescent="0.25"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</row>
    <row r="1634" spans="7:23" x14ac:dyDescent="0.25"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</row>
    <row r="1635" spans="7:23" x14ac:dyDescent="0.25"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</row>
    <row r="1636" spans="7:23" x14ac:dyDescent="0.25"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</row>
    <row r="1637" spans="7:23" x14ac:dyDescent="0.25"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</row>
    <row r="1638" spans="7:23" x14ac:dyDescent="0.25"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</row>
    <row r="1639" spans="7:23" x14ac:dyDescent="0.25"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</row>
    <row r="1640" spans="7:23" x14ac:dyDescent="0.25"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</row>
    <row r="1641" spans="7:23" x14ac:dyDescent="0.25"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</row>
    <row r="1642" spans="7:23" x14ac:dyDescent="0.25"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</row>
    <row r="1643" spans="7:23" x14ac:dyDescent="0.25"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</row>
    <row r="1644" spans="7:23" x14ac:dyDescent="0.25"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</row>
    <row r="1645" spans="7:23" x14ac:dyDescent="0.25"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</row>
    <row r="1646" spans="7:23" x14ac:dyDescent="0.25"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</row>
    <row r="1647" spans="7:23" x14ac:dyDescent="0.25"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</row>
    <row r="1648" spans="7:23" x14ac:dyDescent="0.25"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</row>
    <row r="1649" spans="7:23" x14ac:dyDescent="0.25"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</row>
    <row r="1650" spans="7:23" x14ac:dyDescent="0.25"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</row>
    <row r="1651" spans="7:23" x14ac:dyDescent="0.25"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</row>
    <row r="1652" spans="7:23" x14ac:dyDescent="0.25"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</row>
    <row r="1653" spans="7:23" x14ac:dyDescent="0.25"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</row>
    <row r="1654" spans="7:23" x14ac:dyDescent="0.25"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</row>
    <row r="1655" spans="7:23" x14ac:dyDescent="0.25"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</row>
    <row r="1656" spans="7:23" x14ac:dyDescent="0.25"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</row>
    <row r="1657" spans="7:23" x14ac:dyDescent="0.25"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</row>
    <row r="1658" spans="7:23" x14ac:dyDescent="0.25"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</row>
    <row r="1659" spans="7:23" x14ac:dyDescent="0.25"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</row>
    <row r="1660" spans="7:23" x14ac:dyDescent="0.25"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</row>
    <row r="1661" spans="7:23" x14ac:dyDescent="0.25"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</row>
    <row r="1662" spans="7:23" x14ac:dyDescent="0.25"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</row>
    <row r="1663" spans="7:23" x14ac:dyDescent="0.25"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</row>
    <row r="1664" spans="7:23" x14ac:dyDescent="0.25"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</row>
    <row r="1665" spans="7:23" x14ac:dyDescent="0.25"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</row>
    <row r="1666" spans="7:23" x14ac:dyDescent="0.25"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</row>
    <row r="1667" spans="7:23" x14ac:dyDescent="0.25"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</row>
    <row r="1668" spans="7:23" x14ac:dyDescent="0.25"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</row>
    <row r="1669" spans="7:23" x14ac:dyDescent="0.25"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</row>
    <row r="1670" spans="7:23" x14ac:dyDescent="0.25"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</row>
    <row r="1671" spans="7:23" x14ac:dyDescent="0.25"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</row>
    <row r="1672" spans="7:23" x14ac:dyDescent="0.25"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</row>
    <row r="1673" spans="7:23" x14ac:dyDescent="0.25"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</row>
    <row r="1674" spans="7:23" x14ac:dyDescent="0.25"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</row>
    <row r="1675" spans="7:23" x14ac:dyDescent="0.25"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</row>
    <row r="1676" spans="7:23" x14ac:dyDescent="0.25"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</row>
    <row r="1677" spans="7:23" x14ac:dyDescent="0.25"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</row>
    <row r="1678" spans="7:23" x14ac:dyDescent="0.25"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</row>
    <row r="1679" spans="7:23" x14ac:dyDescent="0.25"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</row>
    <row r="1680" spans="7:23" x14ac:dyDescent="0.25"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</row>
    <row r="1681" spans="7:23" x14ac:dyDescent="0.25"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</row>
    <row r="1682" spans="7:23" x14ac:dyDescent="0.25"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</row>
    <row r="1683" spans="7:23" x14ac:dyDescent="0.25"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</row>
    <row r="1684" spans="7:23" x14ac:dyDescent="0.25"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</row>
    <row r="1685" spans="7:23" x14ac:dyDescent="0.25"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</row>
    <row r="1686" spans="7:23" x14ac:dyDescent="0.25"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</row>
    <row r="1687" spans="7:23" x14ac:dyDescent="0.25"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</row>
    <row r="1688" spans="7:23" x14ac:dyDescent="0.25"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</row>
    <row r="1689" spans="7:23" x14ac:dyDescent="0.25"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</row>
    <row r="1690" spans="7:23" x14ac:dyDescent="0.25"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</row>
    <row r="1691" spans="7:23" x14ac:dyDescent="0.25"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</row>
    <row r="1692" spans="7:23" x14ac:dyDescent="0.25"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</row>
    <row r="1693" spans="7:23" x14ac:dyDescent="0.25"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</row>
    <row r="1694" spans="7:23" x14ac:dyDescent="0.25"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</row>
    <row r="1695" spans="7:23" x14ac:dyDescent="0.25"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</row>
    <row r="1696" spans="7:23" x14ac:dyDescent="0.25"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</row>
    <row r="1697" spans="7:23" x14ac:dyDescent="0.25"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</row>
    <row r="1698" spans="7:23" x14ac:dyDescent="0.25"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</row>
    <row r="1699" spans="7:23" x14ac:dyDescent="0.25"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</row>
    <row r="1700" spans="7:23" x14ac:dyDescent="0.25"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</row>
    <row r="1701" spans="7:23" x14ac:dyDescent="0.25"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</row>
    <row r="1702" spans="7:23" x14ac:dyDescent="0.25"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</row>
    <row r="1703" spans="7:23" x14ac:dyDescent="0.25"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</row>
    <row r="1704" spans="7:23" x14ac:dyDescent="0.25"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</row>
    <row r="1705" spans="7:23" x14ac:dyDescent="0.25"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</row>
    <row r="1706" spans="7:23" x14ac:dyDescent="0.25"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</row>
    <row r="1707" spans="7:23" x14ac:dyDescent="0.25"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</row>
    <row r="1708" spans="7:23" x14ac:dyDescent="0.25"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</row>
    <row r="1709" spans="7:23" x14ac:dyDescent="0.25"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</row>
    <row r="1710" spans="7:23" x14ac:dyDescent="0.25"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</row>
    <row r="1711" spans="7:23" x14ac:dyDescent="0.25"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</row>
    <row r="1712" spans="7:23" x14ac:dyDescent="0.25"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</row>
    <row r="1713" spans="7:23" x14ac:dyDescent="0.25"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</row>
    <row r="1714" spans="7:23" x14ac:dyDescent="0.25"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</row>
    <row r="1715" spans="7:23" x14ac:dyDescent="0.25"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</row>
    <row r="1716" spans="7:23" x14ac:dyDescent="0.25"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</row>
    <row r="1717" spans="7:23" x14ac:dyDescent="0.25"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</row>
    <row r="1718" spans="7:23" x14ac:dyDescent="0.25"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</row>
    <row r="1719" spans="7:23" x14ac:dyDescent="0.25"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</row>
    <row r="1720" spans="7:23" x14ac:dyDescent="0.25"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</row>
    <row r="1721" spans="7:23" x14ac:dyDescent="0.25"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</row>
    <row r="1722" spans="7:23" x14ac:dyDescent="0.25"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</row>
    <row r="1723" spans="7:23" x14ac:dyDescent="0.25"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</row>
    <row r="1724" spans="7:23" x14ac:dyDescent="0.25"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</row>
    <row r="1725" spans="7:23" x14ac:dyDescent="0.25"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</row>
    <row r="1726" spans="7:23" x14ac:dyDescent="0.25"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</row>
    <row r="1727" spans="7:23" x14ac:dyDescent="0.25"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</row>
    <row r="1728" spans="7:23" x14ac:dyDescent="0.25"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</row>
    <row r="1729" spans="7:23" x14ac:dyDescent="0.25"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</row>
    <row r="1730" spans="7:23" x14ac:dyDescent="0.25"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</row>
    <row r="1731" spans="7:23" x14ac:dyDescent="0.25"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</row>
    <row r="1732" spans="7:23" x14ac:dyDescent="0.25"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</row>
    <row r="1733" spans="7:23" x14ac:dyDescent="0.25"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</row>
    <row r="1734" spans="7:23" x14ac:dyDescent="0.25"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</row>
    <row r="1735" spans="7:23" x14ac:dyDescent="0.25"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</row>
    <row r="1736" spans="7:23" x14ac:dyDescent="0.25"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</row>
    <row r="1737" spans="7:23" x14ac:dyDescent="0.25"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</row>
    <row r="1738" spans="7:23" x14ac:dyDescent="0.25"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</row>
    <row r="1739" spans="7:23" x14ac:dyDescent="0.25"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</row>
    <row r="1740" spans="7:23" x14ac:dyDescent="0.25"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</row>
    <row r="1741" spans="7:23" x14ac:dyDescent="0.25"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</row>
    <row r="1742" spans="7:23" x14ac:dyDescent="0.25"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</row>
    <row r="1743" spans="7:23" x14ac:dyDescent="0.25"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</row>
    <row r="1744" spans="7:23" x14ac:dyDescent="0.25"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</row>
    <row r="1745" spans="7:23" x14ac:dyDescent="0.25"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</row>
    <row r="1746" spans="7:23" x14ac:dyDescent="0.25"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</row>
    <row r="1747" spans="7:23" x14ac:dyDescent="0.25"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</row>
    <row r="1748" spans="7:23" x14ac:dyDescent="0.25"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</row>
    <row r="1749" spans="7:23" x14ac:dyDescent="0.25"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</row>
    <row r="1750" spans="7:23" x14ac:dyDescent="0.25"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</row>
    <row r="1751" spans="7:23" x14ac:dyDescent="0.25"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</row>
    <row r="1752" spans="7:23" x14ac:dyDescent="0.25"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</row>
    <row r="1753" spans="7:23" x14ac:dyDescent="0.25"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</row>
    <row r="1754" spans="7:23" x14ac:dyDescent="0.25"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</row>
    <row r="1755" spans="7:23" x14ac:dyDescent="0.25"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</row>
    <row r="1756" spans="7:23" x14ac:dyDescent="0.25"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</row>
    <row r="1757" spans="7:23" x14ac:dyDescent="0.25"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</row>
    <row r="1758" spans="7:23" x14ac:dyDescent="0.25"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</row>
    <row r="1759" spans="7:23" x14ac:dyDescent="0.25"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</row>
    <row r="1760" spans="7:23" x14ac:dyDescent="0.25"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</row>
    <row r="1761" spans="7:23" x14ac:dyDescent="0.25"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</row>
    <row r="1762" spans="7:23" x14ac:dyDescent="0.25"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</row>
    <row r="1763" spans="7:23" x14ac:dyDescent="0.25"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</row>
    <row r="1764" spans="7:23" x14ac:dyDescent="0.25"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</row>
    <row r="1765" spans="7:23" x14ac:dyDescent="0.25"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</row>
    <row r="1766" spans="7:23" x14ac:dyDescent="0.25"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</row>
    <row r="1767" spans="7:23" x14ac:dyDescent="0.25"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</row>
    <row r="1768" spans="7:23" x14ac:dyDescent="0.25"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</row>
    <row r="1769" spans="7:23" x14ac:dyDescent="0.25"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</row>
    <row r="1770" spans="7:23" x14ac:dyDescent="0.25"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</row>
    <row r="1771" spans="7:23" x14ac:dyDescent="0.25"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</row>
    <row r="1772" spans="7:23" x14ac:dyDescent="0.25"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</row>
    <row r="1773" spans="7:23" x14ac:dyDescent="0.25"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</row>
    <row r="1774" spans="7:23" x14ac:dyDescent="0.25"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</row>
    <row r="1775" spans="7:23" x14ac:dyDescent="0.25"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</row>
    <row r="1776" spans="7:23" x14ac:dyDescent="0.25"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</row>
    <row r="1777" spans="7:23" x14ac:dyDescent="0.25"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</row>
    <row r="1778" spans="7:23" x14ac:dyDescent="0.25"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</row>
    <row r="1779" spans="7:23" x14ac:dyDescent="0.25"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</row>
    <row r="1780" spans="7:23" x14ac:dyDescent="0.25"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</row>
    <row r="1781" spans="7:23" x14ac:dyDescent="0.25"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</row>
    <row r="1782" spans="7:23" x14ac:dyDescent="0.25"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</row>
    <row r="1783" spans="7:23" x14ac:dyDescent="0.25"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</row>
    <row r="1784" spans="7:23" x14ac:dyDescent="0.25"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</row>
    <row r="1785" spans="7:23" x14ac:dyDescent="0.25"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</row>
    <row r="1786" spans="7:23" x14ac:dyDescent="0.25"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</row>
    <row r="1787" spans="7:23" x14ac:dyDescent="0.25"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</row>
    <row r="1788" spans="7:23" x14ac:dyDescent="0.25"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</row>
    <row r="1789" spans="7:23" x14ac:dyDescent="0.25"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</row>
    <row r="1790" spans="7:23" x14ac:dyDescent="0.25"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</row>
    <row r="1791" spans="7:23" x14ac:dyDescent="0.25"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</row>
    <row r="1792" spans="7:23" x14ac:dyDescent="0.25"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</row>
    <row r="1793" spans="7:23" x14ac:dyDescent="0.25"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</row>
    <row r="1794" spans="7:23" x14ac:dyDescent="0.25"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</row>
    <row r="1795" spans="7:23" x14ac:dyDescent="0.25"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</row>
    <row r="1796" spans="7:23" x14ac:dyDescent="0.25"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</row>
    <row r="1797" spans="7:23" x14ac:dyDescent="0.25"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</row>
    <row r="1798" spans="7:23" x14ac:dyDescent="0.25"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</row>
    <row r="1799" spans="7:23" x14ac:dyDescent="0.25"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</row>
    <row r="1800" spans="7:23" x14ac:dyDescent="0.25"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</row>
    <row r="1801" spans="7:23" x14ac:dyDescent="0.25"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</row>
    <row r="1802" spans="7:23" x14ac:dyDescent="0.25"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</row>
    <row r="1803" spans="7:23" x14ac:dyDescent="0.25"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</row>
    <row r="1804" spans="7:23" x14ac:dyDescent="0.25"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</row>
    <row r="1805" spans="7:23" x14ac:dyDescent="0.25"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</row>
    <row r="1806" spans="7:23" x14ac:dyDescent="0.25"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</row>
    <row r="1807" spans="7:23" x14ac:dyDescent="0.25"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</row>
    <row r="1808" spans="7:23" x14ac:dyDescent="0.25"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</row>
    <row r="1809" spans="7:23" x14ac:dyDescent="0.25"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</row>
    <row r="1810" spans="7:23" x14ac:dyDescent="0.25"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</row>
    <row r="1811" spans="7:23" x14ac:dyDescent="0.25"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</row>
    <row r="1812" spans="7:23" x14ac:dyDescent="0.25"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</row>
    <row r="1813" spans="7:23" x14ac:dyDescent="0.25"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</row>
    <row r="1814" spans="7:23" x14ac:dyDescent="0.25"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</row>
    <row r="1815" spans="7:23" x14ac:dyDescent="0.25"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</row>
    <row r="1816" spans="7:23" x14ac:dyDescent="0.25"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</row>
    <row r="1817" spans="7:23" x14ac:dyDescent="0.25"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</row>
    <row r="1818" spans="7:23" x14ac:dyDescent="0.25"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</row>
    <row r="1819" spans="7:23" x14ac:dyDescent="0.25"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</row>
    <row r="1820" spans="7:23" x14ac:dyDescent="0.25"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</row>
    <row r="1821" spans="7:23" x14ac:dyDescent="0.25"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</row>
    <row r="1822" spans="7:23" x14ac:dyDescent="0.25"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</row>
    <row r="1823" spans="7:23" x14ac:dyDescent="0.25"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</row>
    <row r="1824" spans="7:23" x14ac:dyDescent="0.25"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</row>
    <row r="1825" spans="7:23" x14ac:dyDescent="0.25"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</row>
    <row r="1826" spans="7:23" x14ac:dyDescent="0.25"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</row>
    <row r="1827" spans="7:23" x14ac:dyDescent="0.25"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</row>
    <row r="1828" spans="7:23" x14ac:dyDescent="0.25"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</row>
    <row r="1829" spans="7:23" x14ac:dyDescent="0.25"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</row>
    <row r="1830" spans="7:23" x14ac:dyDescent="0.25"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</row>
    <row r="1831" spans="7:23" x14ac:dyDescent="0.25"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</row>
    <row r="1832" spans="7:23" x14ac:dyDescent="0.25"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</row>
    <row r="1833" spans="7:23" x14ac:dyDescent="0.25"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</row>
    <row r="1834" spans="7:23" x14ac:dyDescent="0.25"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</row>
    <row r="1835" spans="7:23" x14ac:dyDescent="0.25"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</row>
    <row r="1836" spans="7:23" x14ac:dyDescent="0.25"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</row>
    <row r="1837" spans="7:23" x14ac:dyDescent="0.25"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</row>
    <row r="1838" spans="7:23" x14ac:dyDescent="0.25"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</row>
    <row r="1839" spans="7:23" x14ac:dyDescent="0.25"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</row>
    <row r="1840" spans="7:23" x14ac:dyDescent="0.25"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</row>
    <row r="1841" spans="7:23" x14ac:dyDescent="0.25"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</row>
    <row r="1842" spans="7:23" x14ac:dyDescent="0.25"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</row>
    <row r="1843" spans="7:23" x14ac:dyDescent="0.25"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</row>
    <row r="1844" spans="7:23" x14ac:dyDescent="0.25"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</row>
    <row r="1845" spans="7:23" x14ac:dyDescent="0.25"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</row>
    <row r="1846" spans="7:23" x14ac:dyDescent="0.25"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</row>
    <row r="1847" spans="7:23" x14ac:dyDescent="0.25"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</row>
    <row r="1848" spans="7:23" x14ac:dyDescent="0.25"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</row>
    <row r="1849" spans="7:23" x14ac:dyDescent="0.25"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</row>
    <row r="1850" spans="7:23" x14ac:dyDescent="0.25"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</row>
    <row r="1851" spans="7:23" x14ac:dyDescent="0.25"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</row>
    <row r="1852" spans="7:23" x14ac:dyDescent="0.25"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</row>
    <row r="1853" spans="7:23" x14ac:dyDescent="0.25"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</row>
    <row r="1854" spans="7:23" x14ac:dyDescent="0.25"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</row>
    <row r="1855" spans="7:23" x14ac:dyDescent="0.25"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</row>
    <row r="1856" spans="7:23" x14ac:dyDescent="0.25"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</row>
    <row r="1857" spans="7:23" x14ac:dyDescent="0.25"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</row>
    <row r="1858" spans="7:23" x14ac:dyDescent="0.25"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</row>
    <row r="1859" spans="7:23" x14ac:dyDescent="0.25"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</row>
    <row r="1860" spans="7:23" x14ac:dyDescent="0.25"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</row>
    <row r="1861" spans="7:23" x14ac:dyDescent="0.25"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</row>
    <row r="1862" spans="7:23" x14ac:dyDescent="0.25"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</row>
    <row r="1863" spans="7:23" x14ac:dyDescent="0.25"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</row>
    <row r="1864" spans="7:23" x14ac:dyDescent="0.25"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</row>
    <row r="1865" spans="7:23" x14ac:dyDescent="0.25"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</row>
    <row r="1866" spans="7:23" x14ac:dyDescent="0.25"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</row>
    <row r="1867" spans="7:23" x14ac:dyDescent="0.25"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</row>
    <row r="1868" spans="7:23" x14ac:dyDescent="0.25"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</row>
    <row r="1869" spans="7:23" x14ac:dyDescent="0.25"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</row>
    <row r="1870" spans="7:23" x14ac:dyDescent="0.25"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</row>
    <row r="1871" spans="7:23" x14ac:dyDescent="0.25"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</row>
    <row r="1872" spans="7:23" x14ac:dyDescent="0.25"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</row>
    <row r="1873" spans="7:23" x14ac:dyDescent="0.25"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</row>
    <row r="1874" spans="7:23" x14ac:dyDescent="0.25"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</row>
    <row r="1875" spans="7:23" x14ac:dyDescent="0.25"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</row>
    <row r="1876" spans="7:23" x14ac:dyDescent="0.25"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</row>
    <row r="1877" spans="7:23" x14ac:dyDescent="0.25"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</row>
    <row r="1878" spans="7:23" x14ac:dyDescent="0.25"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</row>
    <row r="1879" spans="7:23" x14ac:dyDescent="0.25"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</row>
    <row r="1880" spans="7:23" x14ac:dyDescent="0.25"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</row>
    <row r="1881" spans="7:23" x14ac:dyDescent="0.25"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</row>
    <row r="1882" spans="7:23" x14ac:dyDescent="0.25"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</row>
    <row r="1883" spans="7:23" x14ac:dyDescent="0.25"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</row>
    <row r="1884" spans="7:23" x14ac:dyDescent="0.25"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</row>
    <row r="1885" spans="7:23" x14ac:dyDescent="0.25"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</row>
    <row r="1886" spans="7:23" x14ac:dyDescent="0.25"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</row>
    <row r="1887" spans="7:23" x14ac:dyDescent="0.25"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</row>
    <row r="1888" spans="7:23" x14ac:dyDescent="0.25"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</row>
    <row r="1889" spans="7:23" x14ac:dyDescent="0.25"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</row>
    <row r="1890" spans="7:23" x14ac:dyDescent="0.25"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</row>
    <row r="1891" spans="7:23" x14ac:dyDescent="0.25"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</row>
    <row r="1892" spans="7:23" x14ac:dyDescent="0.25"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</row>
    <row r="1893" spans="7:23" x14ac:dyDescent="0.25"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</row>
    <row r="1894" spans="7:23" x14ac:dyDescent="0.25"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</row>
    <row r="1895" spans="7:23" x14ac:dyDescent="0.25"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</row>
    <row r="1896" spans="7:23" x14ac:dyDescent="0.25"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</row>
    <row r="1897" spans="7:23" x14ac:dyDescent="0.25"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</row>
    <row r="1898" spans="7:23" x14ac:dyDescent="0.25"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</row>
    <row r="1899" spans="7:23" x14ac:dyDescent="0.25"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</row>
    <row r="1900" spans="7:23" x14ac:dyDescent="0.25"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</row>
    <row r="1901" spans="7:23" x14ac:dyDescent="0.25"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</row>
    <row r="1902" spans="7:23" x14ac:dyDescent="0.25"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</row>
    <row r="1903" spans="7:23" x14ac:dyDescent="0.25"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</row>
    <row r="1904" spans="7:23" x14ac:dyDescent="0.25"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</row>
    <row r="1905" spans="7:23" x14ac:dyDescent="0.25"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</row>
    <row r="1906" spans="7:23" x14ac:dyDescent="0.25"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</row>
    <row r="1907" spans="7:23" x14ac:dyDescent="0.25"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</row>
    <row r="1908" spans="7:23" x14ac:dyDescent="0.25"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</row>
    <row r="1909" spans="7:23" x14ac:dyDescent="0.25"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</row>
    <row r="1910" spans="7:23" x14ac:dyDescent="0.25"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</row>
    <row r="1911" spans="7:23" x14ac:dyDescent="0.25"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</row>
    <row r="1912" spans="7:23" x14ac:dyDescent="0.25"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</row>
    <row r="1913" spans="7:23" x14ac:dyDescent="0.25"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</row>
    <row r="1914" spans="7:23" x14ac:dyDescent="0.25"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</row>
    <row r="1915" spans="7:23" x14ac:dyDescent="0.25"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</row>
    <row r="1916" spans="7:23" x14ac:dyDescent="0.25"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</row>
    <row r="1917" spans="7:23" x14ac:dyDescent="0.25"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</row>
    <row r="1918" spans="7:23" x14ac:dyDescent="0.25"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</row>
    <row r="1919" spans="7:23" x14ac:dyDescent="0.25"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</row>
    <row r="1920" spans="7:23" x14ac:dyDescent="0.25"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</row>
    <row r="1921" spans="7:23" x14ac:dyDescent="0.25"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</row>
    <row r="1922" spans="7:23" x14ac:dyDescent="0.25"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</row>
    <row r="1923" spans="7:23" x14ac:dyDescent="0.25"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</row>
    <row r="1924" spans="7:23" x14ac:dyDescent="0.25"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</row>
    <row r="1925" spans="7:23" x14ac:dyDescent="0.25"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</row>
    <row r="1926" spans="7:23" x14ac:dyDescent="0.25"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</row>
    <row r="1927" spans="7:23" x14ac:dyDescent="0.25"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</row>
    <row r="1928" spans="7:23" x14ac:dyDescent="0.25"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</row>
    <row r="1929" spans="7:23" x14ac:dyDescent="0.25"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</row>
    <row r="1930" spans="7:23" x14ac:dyDescent="0.25"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</row>
    <row r="1931" spans="7:23" x14ac:dyDescent="0.25"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</row>
    <row r="1932" spans="7:23" x14ac:dyDescent="0.25"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</row>
    <row r="1933" spans="7:23" x14ac:dyDescent="0.25"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</row>
    <row r="1934" spans="7:23" x14ac:dyDescent="0.25"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</row>
    <row r="1935" spans="7:23" x14ac:dyDescent="0.25"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</row>
    <row r="1936" spans="7:23" x14ac:dyDescent="0.25"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</row>
    <row r="1937" spans="7:23" x14ac:dyDescent="0.25"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</row>
    <row r="1938" spans="7:23" x14ac:dyDescent="0.25"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</row>
    <row r="1939" spans="7:23" x14ac:dyDescent="0.25"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</row>
    <row r="1940" spans="7:23" x14ac:dyDescent="0.25"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</row>
    <row r="1941" spans="7:23" x14ac:dyDescent="0.25"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</row>
    <row r="1942" spans="7:23" x14ac:dyDescent="0.25"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</row>
    <row r="1943" spans="7:23" x14ac:dyDescent="0.25"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</row>
    <row r="1944" spans="7:23" x14ac:dyDescent="0.25"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</row>
    <row r="1945" spans="7:23" x14ac:dyDescent="0.25"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</row>
    <row r="1946" spans="7:23" x14ac:dyDescent="0.25"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</row>
    <row r="1947" spans="7:23" x14ac:dyDescent="0.25"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</row>
    <row r="1948" spans="7:23" x14ac:dyDescent="0.25"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</row>
    <row r="1949" spans="7:23" x14ac:dyDescent="0.25"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</row>
    <row r="1950" spans="7:23" x14ac:dyDescent="0.25"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</row>
    <row r="1951" spans="7:23" x14ac:dyDescent="0.25"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</row>
    <row r="1952" spans="7:23" x14ac:dyDescent="0.25"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</row>
    <row r="1953" spans="7:23" x14ac:dyDescent="0.25"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</row>
    <row r="1954" spans="7:23" x14ac:dyDescent="0.25"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</row>
    <row r="1955" spans="7:23" x14ac:dyDescent="0.25"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</row>
    <row r="1956" spans="7:23" x14ac:dyDescent="0.25"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</row>
    <row r="1957" spans="7:23" x14ac:dyDescent="0.25"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</row>
    <row r="1958" spans="7:23" x14ac:dyDescent="0.25"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</row>
    <row r="1959" spans="7:23" x14ac:dyDescent="0.25"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</row>
    <row r="1960" spans="7:23" x14ac:dyDescent="0.25"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</row>
    <row r="1961" spans="7:23" x14ac:dyDescent="0.25"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</row>
    <row r="1962" spans="7:23" x14ac:dyDescent="0.25"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</row>
    <row r="1963" spans="7:23" x14ac:dyDescent="0.25"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</row>
    <row r="1964" spans="7:23" x14ac:dyDescent="0.25"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</row>
    <row r="1965" spans="7:23" x14ac:dyDescent="0.25"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</row>
    <row r="1966" spans="7:23" x14ac:dyDescent="0.25"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</row>
    <row r="1967" spans="7:23" x14ac:dyDescent="0.25"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</row>
    <row r="1968" spans="7:23" x14ac:dyDescent="0.25"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</row>
    <row r="1969" spans="7:23" x14ac:dyDescent="0.25"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</row>
    <row r="1970" spans="7:23" x14ac:dyDescent="0.25"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</row>
    <row r="1971" spans="7:23" x14ac:dyDescent="0.25"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</row>
    <row r="1972" spans="7:23" x14ac:dyDescent="0.25"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</row>
    <row r="1973" spans="7:23" x14ac:dyDescent="0.25"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</row>
    <row r="1974" spans="7:23" x14ac:dyDescent="0.25"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</row>
    <row r="1975" spans="7:23" x14ac:dyDescent="0.25"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</row>
    <row r="1976" spans="7:23" x14ac:dyDescent="0.25"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</row>
    <row r="1977" spans="7:23" x14ac:dyDescent="0.25"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</row>
    <row r="1978" spans="7:23" x14ac:dyDescent="0.25"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</row>
    <row r="1979" spans="7:23" x14ac:dyDescent="0.25"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</row>
    <row r="1980" spans="7:23" x14ac:dyDescent="0.25"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</row>
    <row r="1981" spans="7:23" x14ac:dyDescent="0.25"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</row>
    <row r="1982" spans="7:23" x14ac:dyDescent="0.25"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</row>
    <row r="1983" spans="7:23" x14ac:dyDescent="0.25"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</row>
    <row r="1984" spans="7:23" x14ac:dyDescent="0.25"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</row>
    <row r="1985" spans="7:23" x14ac:dyDescent="0.25"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</row>
    <row r="1986" spans="7:23" x14ac:dyDescent="0.25"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</row>
    <row r="1987" spans="7:23" x14ac:dyDescent="0.25"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</row>
    <row r="1988" spans="7:23" x14ac:dyDescent="0.25"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</row>
    <row r="1989" spans="7:23" x14ac:dyDescent="0.25"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</row>
    <row r="1990" spans="7:23" x14ac:dyDescent="0.25"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</row>
    <row r="1991" spans="7:23" x14ac:dyDescent="0.25"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</row>
    <row r="1992" spans="7:23" x14ac:dyDescent="0.25"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</row>
    <row r="1993" spans="7:23" x14ac:dyDescent="0.25"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</row>
    <row r="1994" spans="7:23" x14ac:dyDescent="0.25"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</row>
    <row r="1995" spans="7:23" x14ac:dyDescent="0.25"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</row>
    <row r="1996" spans="7:23" x14ac:dyDescent="0.25"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</row>
    <row r="1997" spans="7:23" x14ac:dyDescent="0.25"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</row>
    <row r="1998" spans="7:23" x14ac:dyDescent="0.25"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</row>
    <row r="1999" spans="7:23" x14ac:dyDescent="0.25"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</row>
    <row r="2000" spans="7:23" x14ac:dyDescent="0.25"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</row>
    <row r="2001" spans="7:23" x14ac:dyDescent="0.25"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</row>
    <row r="2002" spans="7:23" x14ac:dyDescent="0.25"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</row>
    <row r="2003" spans="7:23" x14ac:dyDescent="0.25"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</row>
    <row r="2004" spans="7:23" x14ac:dyDescent="0.25"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</row>
    <row r="2005" spans="7:23" x14ac:dyDescent="0.25"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</row>
    <row r="2006" spans="7:23" x14ac:dyDescent="0.25"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</row>
    <row r="2007" spans="7:23" x14ac:dyDescent="0.25"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</row>
    <row r="2008" spans="7:23" x14ac:dyDescent="0.25"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</row>
    <row r="2009" spans="7:23" x14ac:dyDescent="0.25"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</row>
    <row r="2010" spans="7:23" x14ac:dyDescent="0.25"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</row>
    <row r="2011" spans="7:23" x14ac:dyDescent="0.25"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</row>
    <row r="2012" spans="7:23" x14ac:dyDescent="0.25"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</row>
    <row r="2013" spans="7:23" x14ac:dyDescent="0.25"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</row>
    <row r="2014" spans="7:23" x14ac:dyDescent="0.25"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</row>
    <row r="2015" spans="7:23" x14ac:dyDescent="0.25"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</row>
    <row r="2016" spans="7:23" x14ac:dyDescent="0.25"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</row>
    <row r="2017" spans="7:23" x14ac:dyDescent="0.25"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</row>
    <row r="2018" spans="7:23" x14ac:dyDescent="0.25"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</row>
    <row r="2019" spans="7:23" x14ac:dyDescent="0.25"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</row>
    <row r="2020" spans="7:23" x14ac:dyDescent="0.25"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</row>
    <row r="2021" spans="7:23" x14ac:dyDescent="0.25"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</row>
    <row r="2022" spans="7:23" x14ac:dyDescent="0.25"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</row>
    <row r="2023" spans="7:23" x14ac:dyDescent="0.25"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</row>
    <row r="2024" spans="7:23" x14ac:dyDescent="0.25"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</row>
    <row r="2025" spans="7:23" x14ac:dyDescent="0.25"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</row>
    <row r="2026" spans="7:23" x14ac:dyDescent="0.25"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</row>
    <row r="2027" spans="7:23" x14ac:dyDescent="0.25"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</row>
    <row r="2028" spans="7:23" x14ac:dyDescent="0.25"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</row>
    <row r="2029" spans="7:23" x14ac:dyDescent="0.25"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</row>
    <row r="2030" spans="7:23" x14ac:dyDescent="0.25"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</row>
    <row r="2031" spans="7:23" x14ac:dyDescent="0.25"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</row>
    <row r="2032" spans="7:23" x14ac:dyDescent="0.25"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</row>
    <row r="2033" spans="7:23" x14ac:dyDescent="0.25"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</row>
    <row r="2034" spans="7:23" x14ac:dyDescent="0.25"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</row>
    <row r="2035" spans="7:23" x14ac:dyDescent="0.25"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</row>
    <row r="2036" spans="7:23" x14ac:dyDescent="0.25"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</row>
    <row r="2037" spans="7:23" x14ac:dyDescent="0.25"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</row>
    <row r="2038" spans="7:23" x14ac:dyDescent="0.25"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</row>
    <row r="2039" spans="7:23" x14ac:dyDescent="0.25"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</row>
    <row r="2040" spans="7:23" x14ac:dyDescent="0.25"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</row>
    <row r="2041" spans="7:23" x14ac:dyDescent="0.25"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</row>
    <row r="2042" spans="7:23" x14ac:dyDescent="0.25"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</row>
    <row r="2043" spans="7:23" x14ac:dyDescent="0.25"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</row>
    <row r="2044" spans="7:23" x14ac:dyDescent="0.25"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</row>
    <row r="2045" spans="7:23" x14ac:dyDescent="0.25"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</row>
    <row r="2046" spans="7:23" x14ac:dyDescent="0.25"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</row>
    <row r="2047" spans="7:23" x14ac:dyDescent="0.25"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</row>
    <row r="2048" spans="7:23" x14ac:dyDescent="0.25"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</row>
    <row r="2049" spans="7:23" x14ac:dyDescent="0.25"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</row>
    <row r="2050" spans="7:23" x14ac:dyDescent="0.25"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</row>
    <row r="2051" spans="7:23" x14ac:dyDescent="0.25"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</row>
    <row r="2052" spans="7:23" x14ac:dyDescent="0.25"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</row>
    <row r="2053" spans="7:23" x14ac:dyDescent="0.25"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</row>
    <row r="2054" spans="7:23" x14ac:dyDescent="0.25"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</row>
    <row r="2055" spans="7:23" x14ac:dyDescent="0.25"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</row>
    <row r="2056" spans="7:23" x14ac:dyDescent="0.25"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</row>
    <row r="2057" spans="7:23" x14ac:dyDescent="0.25"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</row>
    <row r="2058" spans="7:23" x14ac:dyDescent="0.25"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</row>
    <row r="2059" spans="7:23" x14ac:dyDescent="0.25"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</row>
    <row r="2060" spans="7:23" x14ac:dyDescent="0.25"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</row>
    <row r="2061" spans="7:23" x14ac:dyDescent="0.25"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</row>
    <row r="2062" spans="7:23" x14ac:dyDescent="0.25"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</row>
    <row r="2063" spans="7:23" x14ac:dyDescent="0.25"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</row>
    <row r="2064" spans="7:23" x14ac:dyDescent="0.25"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</row>
    <row r="2065" spans="7:23" x14ac:dyDescent="0.25"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</row>
    <row r="2066" spans="7:23" x14ac:dyDescent="0.25"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</row>
    <row r="2067" spans="7:23" x14ac:dyDescent="0.25"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</row>
    <row r="2068" spans="7:23" x14ac:dyDescent="0.25"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</row>
    <row r="2069" spans="7:23" x14ac:dyDescent="0.25"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</row>
    <row r="2070" spans="7:23" x14ac:dyDescent="0.25"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</row>
    <row r="2071" spans="7:23" x14ac:dyDescent="0.25"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</row>
    <row r="2072" spans="7:23" x14ac:dyDescent="0.25"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</row>
    <row r="2073" spans="7:23" x14ac:dyDescent="0.25"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</row>
    <row r="2074" spans="7:23" x14ac:dyDescent="0.25"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</row>
    <row r="2075" spans="7:23" x14ac:dyDescent="0.25"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</row>
    <row r="2076" spans="7:23" x14ac:dyDescent="0.25"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</row>
    <row r="2077" spans="7:23" x14ac:dyDescent="0.25"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</row>
    <row r="2078" spans="7:23" x14ac:dyDescent="0.25"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</row>
    <row r="2079" spans="7:23" x14ac:dyDescent="0.25"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</row>
    <row r="2080" spans="7:23" x14ac:dyDescent="0.25"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</row>
    <row r="2081" spans="7:23" x14ac:dyDescent="0.25"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</row>
    <row r="2082" spans="7:23" x14ac:dyDescent="0.25"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</row>
    <row r="2083" spans="7:23" x14ac:dyDescent="0.25"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</row>
    <row r="2084" spans="7:23" x14ac:dyDescent="0.25"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</row>
    <row r="2085" spans="7:23" x14ac:dyDescent="0.25"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</row>
    <row r="2086" spans="7:23" x14ac:dyDescent="0.25"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</row>
    <row r="2087" spans="7:23" x14ac:dyDescent="0.25"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</row>
    <row r="2088" spans="7:23" x14ac:dyDescent="0.25"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</row>
    <row r="2089" spans="7:23" x14ac:dyDescent="0.25"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</row>
    <row r="2090" spans="7:23" x14ac:dyDescent="0.25"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</row>
    <row r="2091" spans="7:23" x14ac:dyDescent="0.25"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</row>
    <row r="2092" spans="7:23" x14ac:dyDescent="0.25"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</row>
    <row r="2093" spans="7:23" x14ac:dyDescent="0.25"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</row>
    <row r="2094" spans="7:23" x14ac:dyDescent="0.25"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</row>
    <row r="2095" spans="7:23" x14ac:dyDescent="0.25"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</row>
    <row r="2096" spans="7:23" x14ac:dyDescent="0.25"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</row>
    <row r="2097" spans="7:23" x14ac:dyDescent="0.25"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</row>
    <row r="2098" spans="7:23" x14ac:dyDescent="0.25"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</row>
    <row r="2099" spans="7:23" x14ac:dyDescent="0.25"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</row>
    <row r="2100" spans="7:23" x14ac:dyDescent="0.25"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</row>
    <row r="2101" spans="7:23" x14ac:dyDescent="0.25"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</row>
    <row r="2102" spans="7:23" x14ac:dyDescent="0.25"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</row>
    <row r="2103" spans="7:23" x14ac:dyDescent="0.25"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</row>
    <row r="2104" spans="7:23" x14ac:dyDescent="0.25"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</row>
    <row r="2105" spans="7:23" x14ac:dyDescent="0.25"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</row>
    <row r="2106" spans="7:23" x14ac:dyDescent="0.25"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</row>
    <row r="2107" spans="7:23" x14ac:dyDescent="0.25"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</row>
    <row r="2108" spans="7:23" x14ac:dyDescent="0.25"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</row>
    <row r="2109" spans="7:23" x14ac:dyDescent="0.25"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</row>
    <row r="2110" spans="7:23" x14ac:dyDescent="0.25"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</row>
    <row r="2111" spans="7:23" x14ac:dyDescent="0.25"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</row>
    <row r="2112" spans="7:23" x14ac:dyDescent="0.25"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</row>
    <row r="2113" spans="7:23" x14ac:dyDescent="0.25"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</row>
    <row r="2114" spans="7:23" x14ac:dyDescent="0.25"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</row>
    <row r="2115" spans="7:23" x14ac:dyDescent="0.25"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</row>
    <row r="2116" spans="7:23" x14ac:dyDescent="0.25"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</row>
    <row r="2117" spans="7:23" x14ac:dyDescent="0.25"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</row>
    <row r="2118" spans="7:23" x14ac:dyDescent="0.25"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</row>
    <row r="2119" spans="7:23" x14ac:dyDescent="0.25"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</row>
    <row r="2120" spans="7:23" x14ac:dyDescent="0.25"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</row>
    <row r="2121" spans="7:23" x14ac:dyDescent="0.25"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</row>
    <row r="2122" spans="7:23" x14ac:dyDescent="0.25"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</row>
    <row r="2123" spans="7:23" x14ac:dyDescent="0.25"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</row>
    <row r="2124" spans="7:23" x14ac:dyDescent="0.25"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</row>
    <row r="2125" spans="7:23" x14ac:dyDescent="0.25"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</row>
    <row r="2126" spans="7:23" x14ac:dyDescent="0.25"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</row>
    <row r="2127" spans="7:23" x14ac:dyDescent="0.25"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</row>
    <row r="2128" spans="7:23" x14ac:dyDescent="0.25"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</row>
    <row r="2129" spans="7:23" x14ac:dyDescent="0.25"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</row>
    <row r="2130" spans="7:23" x14ac:dyDescent="0.25"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</row>
    <row r="2131" spans="7:23" x14ac:dyDescent="0.25"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</row>
    <row r="2132" spans="7:23" x14ac:dyDescent="0.25"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</row>
    <row r="2133" spans="7:23" x14ac:dyDescent="0.25"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</row>
    <row r="2134" spans="7:23" x14ac:dyDescent="0.25"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</row>
    <row r="2135" spans="7:23" x14ac:dyDescent="0.25"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</row>
    <row r="2136" spans="7:23" x14ac:dyDescent="0.25"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</row>
    <row r="2137" spans="7:23" x14ac:dyDescent="0.25"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</row>
    <row r="2138" spans="7:23" x14ac:dyDescent="0.25"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</row>
    <row r="2139" spans="7:23" x14ac:dyDescent="0.25"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</row>
    <row r="2140" spans="7:23" x14ac:dyDescent="0.25"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</row>
    <row r="2141" spans="7:23" x14ac:dyDescent="0.25"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</row>
    <row r="2142" spans="7:23" x14ac:dyDescent="0.25"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</row>
    <row r="2143" spans="7:23" x14ac:dyDescent="0.25"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</row>
    <row r="2144" spans="7:23" x14ac:dyDescent="0.25"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</row>
    <row r="2145" spans="7:23" x14ac:dyDescent="0.25"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</row>
    <row r="2146" spans="7:23" x14ac:dyDescent="0.25"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</row>
    <row r="2147" spans="7:23" x14ac:dyDescent="0.25"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</row>
    <row r="2148" spans="7:23" x14ac:dyDescent="0.25"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</row>
    <row r="2149" spans="7:23" x14ac:dyDescent="0.25"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</row>
    <row r="2150" spans="7:23" x14ac:dyDescent="0.25"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</row>
    <row r="2151" spans="7:23" x14ac:dyDescent="0.25"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</row>
    <row r="2152" spans="7:23" x14ac:dyDescent="0.25"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</row>
    <row r="2153" spans="7:23" x14ac:dyDescent="0.25"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</row>
    <row r="2154" spans="7:23" x14ac:dyDescent="0.25"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</row>
    <row r="2155" spans="7:23" x14ac:dyDescent="0.25"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</row>
    <row r="2156" spans="7:23" x14ac:dyDescent="0.25"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</row>
    <row r="2157" spans="7:23" x14ac:dyDescent="0.25"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</row>
    <row r="2158" spans="7:23" x14ac:dyDescent="0.25"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</row>
    <row r="2159" spans="7:23" x14ac:dyDescent="0.25"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</row>
    <row r="2160" spans="7:23" x14ac:dyDescent="0.25"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</row>
    <row r="2161" spans="7:23" x14ac:dyDescent="0.25"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</row>
    <row r="2162" spans="7:23" x14ac:dyDescent="0.25"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</row>
    <row r="2163" spans="7:23" x14ac:dyDescent="0.25"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</row>
    <row r="2164" spans="7:23" x14ac:dyDescent="0.25"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</row>
    <row r="2165" spans="7:23" x14ac:dyDescent="0.25"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</row>
    <row r="2166" spans="7:23" x14ac:dyDescent="0.25"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</row>
    <row r="2167" spans="7:23" x14ac:dyDescent="0.25"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</row>
    <row r="2168" spans="7:23" x14ac:dyDescent="0.25"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</row>
    <row r="2169" spans="7:23" x14ac:dyDescent="0.25"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</row>
    <row r="2170" spans="7:23" x14ac:dyDescent="0.25"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</row>
    <row r="2171" spans="7:23" x14ac:dyDescent="0.25"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</row>
    <row r="2172" spans="7:23" x14ac:dyDescent="0.25"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</row>
    <row r="2173" spans="7:23" x14ac:dyDescent="0.25"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</row>
    <row r="2174" spans="7:23" x14ac:dyDescent="0.25"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</row>
    <row r="2175" spans="7:23" x14ac:dyDescent="0.25"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</row>
    <row r="2176" spans="7:23" x14ac:dyDescent="0.25"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</row>
    <row r="2177" spans="7:23" x14ac:dyDescent="0.25"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</row>
    <row r="2178" spans="7:23" x14ac:dyDescent="0.25"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</row>
    <row r="2179" spans="7:23" x14ac:dyDescent="0.25"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</row>
    <row r="2180" spans="7:23" x14ac:dyDescent="0.25"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</row>
    <row r="2181" spans="7:23" x14ac:dyDescent="0.25"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</row>
    <row r="2182" spans="7:23" x14ac:dyDescent="0.25"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</row>
    <row r="2183" spans="7:23" x14ac:dyDescent="0.25"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</row>
    <row r="2184" spans="7:23" x14ac:dyDescent="0.25"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</row>
    <row r="2185" spans="7:23" x14ac:dyDescent="0.25"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</row>
    <row r="2186" spans="7:23" x14ac:dyDescent="0.25"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</row>
    <row r="2187" spans="7:23" x14ac:dyDescent="0.25"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</row>
    <row r="2188" spans="7:23" x14ac:dyDescent="0.25"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</row>
    <row r="2189" spans="7:23" x14ac:dyDescent="0.25"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</row>
    <row r="2190" spans="7:23" x14ac:dyDescent="0.25"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</row>
    <row r="2191" spans="7:23" x14ac:dyDescent="0.25"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</row>
    <row r="2192" spans="7:23" x14ac:dyDescent="0.25"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</row>
    <row r="2193" spans="7:23" x14ac:dyDescent="0.25"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</row>
    <row r="2194" spans="7:23" x14ac:dyDescent="0.25"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</row>
    <row r="2195" spans="7:23" x14ac:dyDescent="0.25"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</row>
    <row r="2196" spans="7:23" x14ac:dyDescent="0.25"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</row>
    <row r="2197" spans="7:23" x14ac:dyDescent="0.25"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</row>
    <row r="2198" spans="7:23" x14ac:dyDescent="0.25"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</row>
    <row r="2199" spans="7:23" x14ac:dyDescent="0.25"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</row>
    <row r="2200" spans="7:23" x14ac:dyDescent="0.25"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</row>
    <row r="2201" spans="7:23" x14ac:dyDescent="0.25"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</row>
    <row r="2202" spans="7:23" x14ac:dyDescent="0.25"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</row>
    <row r="2203" spans="7:23" x14ac:dyDescent="0.25"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</row>
    <row r="2204" spans="7:23" x14ac:dyDescent="0.25"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</row>
    <row r="2205" spans="7:23" x14ac:dyDescent="0.25"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</row>
    <row r="2206" spans="7:23" x14ac:dyDescent="0.25"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</row>
    <row r="2207" spans="7:23" x14ac:dyDescent="0.25"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</row>
    <row r="2208" spans="7:23" x14ac:dyDescent="0.25"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</row>
    <row r="2209" spans="7:23" x14ac:dyDescent="0.25"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</row>
    <row r="2210" spans="7:23" x14ac:dyDescent="0.25"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</row>
    <row r="2211" spans="7:23" x14ac:dyDescent="0.25"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</row>
    <row r="2212" spans="7:23" x14ac:dyDescent="0.25"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</row>
    <row r="2213" spans="7:23" x14ac:dyDescent="0.25"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</row>
    <row r="2214" spans="7:23" x14ac:dyDescent="0.25"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</row>
    <row r="2215" spans="7:23" x14ac:dyDescent="0.25"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</row>
    <row r="2216" spans="7:23" x14ac:dyDescent="0.25"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</row>
    <row r="2217" spans="7:23" x14ac:dyDescent="0.25"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</row>
    <row r="2218" spans="7:23" x14ac:dyDescent="0.25"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</row>
    <row r="2219" spans="7:23" x14ac:dyDescent="0.25"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</row>
    <row r="2220" spans="7:23" x14ac:dyDescent="0.25"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</row>
    <row r="2221" spans="7:23" x14ac:dyDescent="0.25"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</row>
    <row r="2222" spans="7:23" x14ac:dyDescent="0.25"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</row>
    <row r="2223" spans="7:23" x14ac:dyDescent="0.25"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</row>
    <row r="2224" spans="7:23" x14ac:dyDescent="0.25"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</row>
    <row r="2225" spans="7:23" x14ac:dyDescent="0.25"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</row>
    <row r="2226" spans="7:23" x14ac:dyDescent="0.25"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</row>
    <row r="2227" spans="7:23" x14ac:dyDescent="0.25"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</row>
    <row r="2228" spans="7:23" x14ac:dyDescent="0.25"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</row>
    <row r="2229" spans="7:23" x14ac:dyDescent="0.25"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</row>
    <row r="2230" spans="7:23" x14ac:dyDescent="0.25"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</row>
    <row r="2231" spans="7:23" x14ac:dyDescent="0.25"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</row>
    <row r="2232" spans="7:23" x14ac:dyDescent="0.25"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</row>
    <row r="2233" spans="7:23" x14ac:dyDescent="0.25"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</row>
    <row r="2234" spans="7:23" x14ac:dyDescent="0.25"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</row>
    <row r="2235" spans="7:23" x14ac:dyDescent="0.25"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</row>
    <row r="2236" spans="7:23" x14ac:dyDescent="0.25"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</row>
    <row r="2237" spans="7:23" x14ac:dyDescent="0.25"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</row>
    <row r="2238" spans="7:23" x14ac:dyDescent="0.25"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</row>
    <row r="2239" spans="7:23" x14ac:dyDescent="0.25"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</row>
    <row r="2240" spans="7:23" x14ac:dyDescent="0.25"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</row>
    <row r="2241" spans="7:23" x14ac:dyDescent="0.25"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</row>
    <row r="2242" spans="7:23" x14ac:dyDescent="0.25"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</row>
    <row r="2243" spans="7:23" x14ac:dyDescent="0.25"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</row>
    <row r="2244" spans="7:23" x14ac:dyDescent="0.25"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</row>
    <row r="2245" spans="7:23" x14ac:dyDescent="0.25"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</row>
    <row r="2246" spans="7:23" x14ac:dyDescent="0.25"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</row>
    <row r="2247" spans="7:23" x14ac:dyDescent="0.25"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</row>
    <row r="2248" spans="7:23" x14ac:dyDescent="0.25"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</row>
    <row r="2249" spans="7:23" x14ac:dyDescent="0.25"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</row>
    <row r="2250" spans="7:23" x14ac:dyDescent="0.25"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</row>
    <row r="2251" spans="7:23" x14ac:dyDescent="0.25"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</row>
    <row r="2252" spans="7:23" x14ac:dyDescent="0.25"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</row>
    <row r="2253" spans="7:23" x14ac:dyDescent="0.25"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</row>
    <row r="2254" spans="7:23" x14ac:dyDescent="0.25"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</row>
    <row r="2255" spans="7:23" x14ac:dyDescent="0.25"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</row>
    <row r="2256" spans="7:23" x14ac:dyDescent="0.25"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</row>
    <row r="2257" spans="7:23" x14ac:dyDescent="0.25"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</row>
    <row r="2258" spans="7:23" x14ac:dyDescent="0.25"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</row>
    <row r="2259" spans="7:23" x14ac:dyDescent="0.25"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</row>
    <row r="2260" spans="7:23" x14ac:dyDescent="0.25"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</row>
    <row r="2261" spans="7:23" x14ac:dyDescent="0.25"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</row>
    <row r="2262" spans="7:23" x14ac:dyDescent="0.25"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</row>
    <row r="2263" spans="7:23" x14ac:dyDescent="0.25"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</row>
    <row r="2264" spans="7:23" x14ac:dyDescent="0.25"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</row>
    <row r="2265" spans="7:23" x14ac:dyDescent="0.25"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</row>
    <row r="2266" spans="7:23" x14ac:dyDescent="0.25"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</row>
    <row r="2267" spans="7:23" x14ac:dyDescent="0.25"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</row>
    <row r="2268" spans="7:23" x14ac:dyDescent="0.25"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</row>
    <row r="2269" spans="7:23" x14ac:dyDescent="0.25"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</row>
    <row r="2270" spans="7:23" x14ac:dyDescent="0.25"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</row>
    <row r="2271" spans="7:23" x14ac:dyDescent="0.25"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</row>
    <row r="2272" spans="7:23" x14ac:dyDescent="0.25"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</row>
    <row r="2273" spans="7:23" x14ac:dyDescent="0.25"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</row>
    <row r="2274" spans="7:23" x14ac:dyDescent="0.25"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</row>
    <row r="2275" spans="7:23" x14ac:dyDescent="0.25"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</row>
    <row r="2276" spans="7:23" x14ac:dyDescent="0.25"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</row>
    <row r="2277" spans="7:23" x14ac:dyDescent="0.25"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</row>
    <row r="2278" spans="7:23" x14ac:dyDescent="0.25"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</row>
    <row r="2279" spans="7:23" x14ac:dyDescent="0.25"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</row>
    <row r="2280" spans="7:23" x14ac:dyDescent="0.25"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</row>
    <row r="2281" spans="7:23" x14ac:dyDescent="0.25"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</row>
    <row r="2282" spans="7:23" x14ac:dyDescent="0.25"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</row>
    <row r="2283" spans="7:23" x14ac:dyDescent="0.25"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</row>
    <row r="2284" spans="7:23" x14ac:dyDescent="0.25"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</row>
    <row r="2285" spans="7:23" x14ac:dyDescent="0.25"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</row>
    <row r="2286" spans="7:23" x14ac:dyDescent="0.25"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</row>
    <row r="2287" spans="7:23" x14ac:dyDescent="0.25"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</row>
    <row r="2288" spans="7:23" x14ac:dyDescent="0.25"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</row>
    <row r="2289" spans="7:23" x14ac:dyDescent="0.25"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</row>
    <row r="2290" spans="7:23" x14ac:dyDescent="0.25"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</row>
    <row r="2291" spans="7:23" x14ac:dyDescent="0.25"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</row>
    <row r="2292" spans="7:23" x14ac:dyDescent="0.25"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</row>
    <row r="2293" spans="7:23" x14ac:dyDescent="0.25"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</row>
    <row r="2294" spans="7:23" x14ac:dyDescent="0.25"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</row>
    <row r="2295" spans="7:23" x14ac:dyDescent="0.25"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</row>
    <row r="2296" spans="7:23" x14ac:dyDescent="0.25"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</row>
    <row r="2297" spans="7:23" x14ac:dyDescent="0.25"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</row>
    <row r="2298" spans="7:23" x14ac:dyDescent="0.25"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</row>
    <row r="2299" spans="7:23" x14ac:dyDescent="0.25"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</row>
    <row r="2300" spans="7:23" x14ac:dyDescent="0.25"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</row>
    <row r="2301" spans="7:23" x14ac:dyDescent="0.25"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</row>
    <row r="2302" spans="7:23" x14ac:dyDescent="0.25"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</row>
    <row r="2303" spans="7:23" x14ac:dyDescent="0.25"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</row>
    <row r="2304" spans="7:23" x14ac:dyDescent="0.25"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</row>
    <row r="2305" spans="7:23" x14ac:dyDescent="0.25"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</row>
    <row r="2306" spans="7:23" x14ac:dyDescent="0.25"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</row>
    <row r="2307" spans="7:23" x14ac:dyDescent="0.25"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</row>
    <row r="2308" spans="7:23" x14ac:dyDescent="0.25"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</row>
    <row r="2309" spans="7:23" x14ac:dyDescent="0.25"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</row>
    <row r="2310" spans="7:23" x14ac:dyDescent="0.25"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</row>
    <row r="2311" spans="7:23" x14ac:dyDescent="0.25"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</row>
    <row r="2312" spans="7:23" x14ac:dyDescent="0.25"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</row>
    <row r="2313" spans="7:23" x14ac:dyDescent="0.25"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</row>
    <row r="2314" spans="7:23" x14ac:dyDescent="0.25"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</row>
    <row r="2315" spans="7:23" x14ac:dyDescent="0.25"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</row>
    <row r="2316" spans="7:23" x14ac:dyDescent="0.25"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</row>
    <row r="2317" spans="7:23" x14ac:dyDescent="0.25"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</row>
    <row r="2318" spans="7:23" x14ac:dyDescent="0.25"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</row>
    <row r="2319" spans="7:23" x14ac:dyDescent="0.25"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</row>
    <row r="2320" spans="7:23" x14ac:dyDescent="0.25"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</row>
    <row r="2321" spans="7:23" x14ac:dyDescent="0.25"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</row>
    <row r="2322" spans="7:23" x14ac:dyDescent="0.25"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</row>
    <row r="2323" spans="7:23" x14ac:dyDescent="0.25"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</row>
    <row r="2324" spans="7:23" x14ac:dyDescent="0.25"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</row>
    <row r="2325" spans="7:23" x14ac:dyDescent="0.25"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</row>
    <row r="2326" spans="7:23" x14ac:dyDescent="0.25"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</row>
    <row r="2327" spans="7:23" x14ac:dyDescent="0.25"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</row>
    <row r="2328" spans="7:23" x14ac:dyDescent="0.25"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</row>
    <row r="2329" spans="7:23" x14ac:dyDescent="0.25"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</row>
    <row r="2330" spans="7:23" x14ac:dyDescent="0.25"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</row>
    <row r="2331" spans="7:23" x14ac:dyDescent="0.25"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</row>
    <row r="2332" spans="7:23" x14ac:dyDescent="0.25"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</row>
    <row r="2333" spans="7:23" x14ac:dyDescent="0.25"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</row>
    <row r="2334" spans="7:23" x14ac:dyDescent="0.25"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</row>
    <row r="2335" spans="7:23" x14ac:dyDescent="0.25"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</row>
    <row r="2336" spans="7:23" x14ac:dyDescent="0.25"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</row>
    <row r="2337" spans="7:23" x14ac:dyDescent="0.25"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</row>
    <row r="2338" spans="7:23" x14ac:dyDescent="0.25"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</row>
    <row r="2339" spans="7:23" x14ac:dyDescent="0.25"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</row>
    <row r="2340" spans="7:23" x14ac:dyDescent="0.25"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</row>
    <row r="2341" spans="7:23" x14ac:dyDescent="0.25"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</row>
    <row r="2342" spans="7:23" x14ac:dyDescent="0.25"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</row>
    <row r="2343" spans="7:23" x14ac:dyDescent="0.25"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</row>
    <row r="2344" spans="7:23" x14ac:dyDescent="0.25"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</row>
    <row r="2345" spans="7:23" x14ac:dyDescent="0.25"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</row>
    <row r="2346" spans="7:23" x14ac:dyDescent="0.25"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</row>
    <row r="2347" spans="7:23" x14ac:dyDescent="0.25"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</row>
    <row r="2348" spans="7:23" x14ac:dyDescent="0.25"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</row>
    <row r="2349" spans="7:23" x14ac:dyDescent="0.25"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</row>
    <row r="2350" spans="7:23" x14ac:dyDescent="0.25"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</row>
    <row r="2351" spans="7:23" x14ac:dyDescent="0.25"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</row>
    <row r="2352" spans="7:23" x14ac:dyDescent="0.25"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</row>
    <row r="2353" spans="7:23" x14ac:dyDescent="0.25"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</row>
    <row r="2354" spans="7:23" x14ac:dyDescent="0.25"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</row>
    <row r="2355" spans="7:23" x14ac:dyDescent="0.25"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</row>
    <row r="2356" spans="7:23" x14ac:dyDescent="0.25"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</row>
    <row r="2357" spans="7:23" x14ac:dyDescent="0.25"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</row>
    <row r="2358" spans="7:23" x14ac:dyDescent="0.25"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</row>
    <row r="2359" spans="7:23" x14ac:dyDescent="0.25"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</row>
    <row r="2360" spans="7:23" x14ac:dyDescent="0.25"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</row>
    <row r="2361" spans="7:23" x14ac:dyDescent="0.25"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</row>
    <row r="2362" spans="7:23" x14ac:dyDescent="0.25"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</row>
    <row r="2363" spans="7:23" x14ac:dyDescent="0.25"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</row>
    <row r="2364" spans="7:23" x14ac:dyDescent="0.25"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</row>
    <row r="2365" spans="7:23" x14ac:dyDescent="0.25"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</row>
    <row r="2366" spans="7:23" x14ac:dyDescent="0.25"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</row>
    <row r="2367" spans="7:23" x14ac:dyDescent="0.25"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</row>
    <row r="2368" spans="7:23" x14ac:dyDescent="0.25"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</row>
    <row r="2369" spans="7:23" x14ac:dyDescent="0.25"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</row>
    <row r="2370" spans="7:23" x14ac:dyDescent="0.25"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</row>
    <row r="2371" spans="7:23" x14ac:dyDescent="0.25"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</row>
    <row r="2372" spans="7:23" x14ac:dyDescent="0.25"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</row>
    <row r="2373" spans="7:23" x14ac:dyDescent="0.25"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</row>
    <row r="2374" spans="7:23" x14ac:dyDescent="0.25"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</row>
    <row r="2375" spans="7:23" x14ac:dyDescent="0.25"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</row>
    <row r="2376" spans="7:23" x14ac:dyDescent="0.25"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</row>
    <row r="2377" spans="7:23" x14ac:dyDescent="0.25"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</row>
    <row r="2378" spans="7:23" x14ac:dyDescent="0.25"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</row>
    <row r="2379" spans="7:23" x14ac:dyDescent="0.25"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</row>
    <row r="2380" spans="7:23" x14ac:dyDescent="0.25"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</row>
    <row r="2381" spans="7:23" x14ac:dyDescent="0.25"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</row>
    <row r="2382" spans="7:23" x14ac:dyDescent="0.25"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</row>
    <row r="2383" spans="7:23" x14ac:dyDescent="0.25"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</row>
    <row r="2384" spans="7:23" x14ac:dyDescent="0.25"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</row>
    <row r="2385" spans="7:23" x14ac:dyDescent="0.25"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</row>
    <row r="2386" spans="7:23" x14ac:dyDescent="0.25"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</row>
    <row r="2387" spans="7:23" x14ac:dyDescent="0.25"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</row>
    <row r="2388" spans="7:23" x14ac:dyDescent="0.25"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</row>
    <row r="2389" spans="7:23" x14ac:dyDescent="0.25"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</row>
    <row r="2390" spans="7:23" x14ac:dyDescent="0.25"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</row>
    <row r="2391" spans="7:23" x14ac:dyDescent="0.25"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</row>
    <row r="2392" spans="7:23" x14ac:dyDescent="0.25"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</row>
    <row r="2393" spans="7:23" x14ac:dyDescent="0.25"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</row>
    <row r="2394" spans="7:23" x14ac:dyDescent="0.25"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</row>
    <row r="2395" spans="7:23" x14ac:dyDescent="0.25"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</row>
    <row r="2396" spans="7:23" x14ac:dyDescent="0.25"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</row>
    <row r="2397" spans="7:23" x14ac:dyDescent="0.25"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</row>
    <row r="2398" spans="7:23" x14ac:dyDescent="0.25"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</row>
    <row r="2399" spans="7:23" x14ac:dyDescent="0.25"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</row>
    <row r="2400" spans="7:23" x14ac:dyDescent="0.25"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</row>
    <row r="2401" spans="7:23" x14ac:dyDescent="0.25"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</row>
    <row r="2402" spans="7:23" x14ac:dyDescent="0.25"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</row>
    <row r="2403" spans="7:23" x14ac:dyDescent="0.25"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</row>
    <row r="2404" spans="7:23" x14ac:dyDescent="0.25"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</row>
    <row r="2405" spans="7:23" x14ac:dyDescent="0.25"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</row>
    <row r="2406" spans="7:23" x14ac:dyDescent="0.25"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</row>
    <row r="2407" spans="7:23" x14ac:dyDescent="0.25"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</row>
    <row r="2408" spans="7:23" x14ac:dyDescent="0.25"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</row>
    <row r="2409" spans="7:23" x14ac:dyDescent="0.25"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</row>
    <row r="2410" spans="7:23" x14ac:dyDescent="0.25"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</row>
    <row r="2411" spans="7:23" x14ac:dyDescent="0.25"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</row>
    <row r="2412" spans="7:23" x14ac:dyDescent="0.25"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</row>
    <row r="2413" spans="7:23" x14ac:dyDescent="0.25"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</row>
    <row r="2414" spans="7:23" x14ac:dyDescent="0.25"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</row>
    <row r="2415" spans="7:23" x14ac:dyDescent="0.25"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</row>
    <row r="2416" spans="7:23" x14ac:dyDescent="0.25"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</row>
    <row r="2417" spans="7:23" x14ac:dyDescent="0.25"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</row>
    <row r="2418" spans="7:23" x14ac:dyDescent="0.25"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</row>
    <row r="2419" spans="7:23" x14ac:dyDescent="0.25"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</row>
    <row r="2420" spans="7:23" x14ac:dyDescent="0.25"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</row>
    <row r="2421" spans="7:23" x14ac:dyDescent="0.25"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</row>
    <row r="2422" spans="7:23" x14ac:dyDescent="0.25"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</row>
    <row r="2423" spans="7:23" x14ac:dyDescent="0.25"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</row>
    <row r="2424" spans="7:23" x14ac:dyDescent="0.25"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</row>
    <row r="2425" spans="7:23" x14ac:dyDescent="0.25"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</row>
    <row r="2426" spans="7:23" x14ac:dyDescent="0.25"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</row>
    <row r="2427" spans="7:23" x14ac:dyDescent="0.25"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</row>
    <row r="2428" spans="7:23" x14ac:dyDescent="0.25"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</row>
    <row r="2429" spans="7:23" x14ac:dyDescent="0.25"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</row>
    <row r="2430" spans="7:23" x14ac:dyDescent="0.25"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</row>
    <row r="2431" spans="7:23" x14ac:dyDescent="0.25"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</row>
    <row r="2432" spans="7:23" x14ac:dyDescent="0.25"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</row>
    <row r="2433" spans="7:23" x14ac:dyDescent="0.25"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</row>
    <row r="2434" spans="7:23" x14ac:dyDescent="0.25"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</row>
    <row r="2435" spans="7:23" x14ac:dyDescent="0.25"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</row>
    <row r="2436" spans="7:23" x14ac:dyDescent="0.25"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</row>
    <row r="2437" spans="7:23" x14ac:dyDescent="0.25"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</row>
    <row r="2438" spans="7:23" x14ac:dyDescent="0.25"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</row>
    <row r="2439" spans="7:23" x14ac:dyDescent="0.25"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</row>
    <row r="2440" spans="7:23" x14ac:dyDescent="0.25"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</row>
    <row r="2441" spans="7:23" x14ac:dyDescent="0.25"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</row>
    <row r="2442" spans="7:23" x14ac:dyDescent="0.25"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</row>
    <row r="2443" spans="7:23" x14ac:dyDescent="0.25"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</row>
    <row r="2444" spans="7:23" x14ac:dyDescent="0.25"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</row>
    <row r="2445" spans="7:23" x14ac:dyDescent="0.25"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</row>
    <row r="2446" spans="7:23" x14ac:dyDescent="0.25"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</row>
    <row r="2447" spans="7:23" x14ac:dyDescent="0.25"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</row>
    <row r="2448" spans="7:23" x14ac:dyDescent="0.25"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</row>
    <row r="2449" spans="7:23" x14ac:dyDescent="0.25"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</row>
    <row r="2450" spans="7:23" x14ac:dyDescent="0.25"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</row>
    <row r="2451" spans="7:23" x14ac:dyDescent="0.25"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</row>
    <row r="2452" spans="7:23" x14ac:dyDescent="0.25"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</row>
    <row r="2453" spans="7:23" x14ac:dyDescent="0.25"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</row>
    <row r="2454" spans="7:23" x14ac:dyDescent="0.25"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</row>
    <row r="2455" spans="7:23" x14ac:dyDescent="0.25"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</row>
    <row r="2456" spans="7:23" x14ac:dyDescent="0.25"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</row>
    <row r="2457" spans="7:23" x14ac:dyDescent="0.25"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</row>
    <row r="2458" spans="7:23" x14ac:dyDescent="0.25"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</row>
    <row r="2459" spans="7:23" x14ac:dyDescent="0.25"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</row>
    <row r="2460" spans="7:23" x14ac:dyDescent="0.25"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</row>
    <row r="2461" spans="7:23" x14ac:dyDescent="0.25"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</row>
    <row r="2462" spans="7:23" x14ac:dyDescent="0.25"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</row>
    <row r="2463" spans="7:23" x14ac:dyDescent="0.25"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</row>
    <row r="2464" spans="7:23" x14ac:dyDescent="0.25"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</row>
    <row r="2465" spans="7:23" x14ac:dyDescent="0.25"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</row>
    <row r="2466" spans="7:23" x14ac:dyDescent="0.25"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</row>
    <row r="2467" spans="7:23" x14ac:dyDescent="0.25"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</row>
    <row r="2468" spans="7:23" x14ac:dyDescent="0.25"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</row>
    <row r="2469" spans="7:23" x14ac:dyDescent="0.25"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</row>
    <row r="2470" spans="7:23" x14ac:dyDescent="0.25"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</row>
    <row r="2471" spans="7:23" x14ac:dyDescent="0.25"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</row>
    <row r="2472" spans="7:23" x14ac:dyDescent="0.25"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</row>
    <row r="2473" spans="7:23" x14ac:dyDescent="0.25"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</row>
    <row r="2474" spans="7:23" x14ac:dyDescent="0.25"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</row>
    <row r="2475" spans="7:23" x14ac:dyDescent="0.25"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</row>
    <row r="2476" spans="7:23" x14ac:dyDescent="0.25"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</row>
    <row r="2477" spans="7:23" x14ac:dyDescent="0.25"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</row>
    <row r="2478" spans="7:23" x14ac:dyDescent="0.25"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</row>
    <row r="2479" spans="7:23" x14ac:dyDescent="0.25"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</row>
    <row r="2480" spans="7:23" x14ac:dyDescent="0.25"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</row>
    <row r="2481" spans="7:23" x14ac:dyDescent="0.25"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</row>
    <row r="2482" spans="7:23" x14ac:dyDescent="0.25"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</row>
    <row r="2483" spans="7:23" x14ac:dyDescent="0.25"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</row>
    <row r="2484" spans="7:23" x14ac:dyDescent="0.25"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</row>
    <row r="2485" spans="7:23" x14ac:dyDescent="0.25"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</row>
    <row r="2486" spans="7:23" x14ac:dyDescent="0.25"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</row>
    <row r="2487" spans="7:23" x14ac:dyDescent="0.25"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</row>
    <row r="2488" spans="7:23" x14ac:dyDescent="0.25"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</row>
    <row r="2489" spans="7:23" x14ac:dyDescent="0.25"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</row>
    <row r="2490" spans="7:23" x14ac:dyDescent="0.25"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</row>
    <row r="2491" spans="7:23" x14ac:dyDescent="0.25"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</row>
    <row r="2492" spans="7:23" x14ac:dyDescent="0.25"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</row>
    <row r="2493" spans="7:23" x14ac:dyDescent="0.25"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</row>
    <row r="2494" spans="7:23" x14ac:dyDescent="0.25"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</row>
    <row r="2495" spans="7:23" x14ac:dyDescent="0.25"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</row>
    <row r="2496" spans="7:23" x14ac:dyDescent="0.25"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</row>
    <row r="2497" spans="7:23" x14ac:dyDescent="0.25"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</row>
    <row r="2498" spans="7:23" x14ac:dyDescent="0.25"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</row>
    <row r="2499" spans="7:23" x14ac:dyDescent="0.25"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</row>
    <row r="2500" spans="7:23" x14ac:dyDescent="0.25"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</row>
    <row r="2501" spans="7:23" x14ac:dyDescent="0.25"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</row>
    <row r="2502" spans="7:23" x14ac:dyDescent="0.25"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</row>
    <row r="2503" spans="7:23" x14ac:dyDescent="0.25"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</row>
    <row r="2504" spans="7:23" x14ac:dyDescent="0.25"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</row>
    <row r="2505" spans="7:23" x14ac:dyDescent="0.25"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</row>
    <row r="2506" spans="7:23" x14ac:dyDescent="0.25"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</row>
    <row r="2507" spans="7:23" x14ac:dyDescent="0.25"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</row>
    <row r="2508" spans="7:23" x14ac:dyDescent="0.25"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</row>
    <row r="2509" spans="7:23" x14ac:dyDescent="0.25"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</row>
    <row r="2510" spans="7:23" x14ac:dyDescent="0.25"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</row>
    <row r="2511" spans="7:23" x14ac:dyDescent="0.25"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</row>
    <row r="2512" spans="7:23" x14ac:dyDescent="0.25"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</row>
    <row r="2513" spans="7:23" x14ac:dyDescent="0.25"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</row>
    <row r="2514" spans="7:23" x14ac:dyDescent="0.25"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</row>
    <row r="2515" spans="7:23" x14ac:dyDescent="0.25"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</row>
    <row r="2516" spans="7:23" x14ac:dyDescent="0.25"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</row>
    <row r="2517" spans="7:23" x14ac:dyDescent="0.25"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</row>
    <row r="2518" spans="7:23" x14ac:dyDescent="0.25"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</row>
    <row r="2519" spans="7:23" x14ac:dyDescent="0.25"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</row>
    <row r="2520" spans="7:23" x14ac:dyDescent="0.25"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</row>
    <row r="2521" spans="7:23" x14ac:dyDescent="0.25"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</row>
    <row r="2522" spans="7:23" x14ac:dyDescent="0.25"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</row>
    <row r="2523" spans="7:23" x14ac:dyDescent="0.25"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</row>
    <row r="2524" spans="7:23" x14ac:dyDescent="0.25"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</row>
    <row r="2525" spans="7:23" x14ac:dyDescent="0.25"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</row>
    <row r="2526" spans="7:23" x14ac:dyDescent="0.25"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</row>
    <row r="2527" spans="7:23" x14ac:dyDescent="0.25"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</row>
    <row r="2528" spans="7:23" x14ac:dyDescent="0.25"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</row>
    <row r="2529" spans="7:23" x14ac:dyDescent="0.25"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</row>
    <row r="2530" spans="7:23" x14ac:dyDescent="0.25"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</row>
    <row r="2531" spans="7:23" x14ac:dyDescent="0.25"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</row>
    <row r="2532" spans="7:23" x14ac:dyDescent="0.25"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</row>
    <row r="2533" spans="7:23" x14ac:dyDescent="0.25"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</row>
    <row r="2534" spans="7:23" x14ac:dyDescent="0.25"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</row>
    <row r="2535" spans="7:23" x14ac:dyDescent="0.25"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</row>
    <row r="2536" spans="7:23" x14ac:dyDescent="0.25"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</row>
    <row r="2537" spans="7:23" x14ac:dyDescent="0.25"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</row>
    <row r="2538" spans="7:23" x14ac:dyDescent="0.25"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</row>
    <row r="2539" spans="7:23" x14ac:dyDescent="0.25"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</row>
    <row r="2540" spans="7:23" x14ac:dyDescent="0.25"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</row>
    <row r="2541" spans="7:23" x14ac:dyDescent="0.25"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</row>
    <row r="2542" spans="7:23" x14ac:dyDescent="0.25"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</row>
    <row r="2543" spans="7:23" x14ac:dyDescent="0.25"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</row>
    <row r="2544" spans="7:23" x14ac:dyDescent="0.25"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</row>
    <row r="2545" spans="7:23" x14ac:dyDescent="0.25"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</row>
    <row r="2546" spans="7:23" x14ac:dyDescent="0.25"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</row>
    <row r="2547" spans="7:23" x14ac:dyDescent="0.25"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</row>
    <row r="2548" spans="7:23" x14ac:dyDescent="0.25"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</row>
    <row r="2549" spans="7:23" x14ac:dyDescent="0.25"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</row>
    <row r="2550" spans="7:23" x14ac:dyDescent="0.25"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</row>
    <row r="2551" spans="7:23" x14ac:dyDescent="0.25"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</row>
    <row r="2552" spans="7:23" x14ac:dyDescent="0.25"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</row>
    <row r="2553" spans="7:23" x14ac:dyDescent="0.25"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</row>
    <row r="2554" spans="7:23" x14ac:dyDescent="0.25"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</row>
    <row r="2555" spans="7:23" x14ac:dyDescent="0.25"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</row>
    <row r="2556" spans="7:23" x14ac:dyDescent="0.25"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</row>
    <row r="2557" spans="7:23" x14ac:dyDescent="0.25"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</row>
    <row r="2558" spans="7:23" x14ac:dyDescent="0.25"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</row>
    <row r="2559" spans="7:23" x14ac:dyDescent="0.25"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</row>
    <row r="2560" spans="7:23" x14ac:dyDescent="0.25"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</row>
    <row r="2561" spans="7:23" x14ac:dyDescent="0.25"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</row>
    <row r="2562" spans="7:23" x14ac:dyDescent="0.25"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</row>
    <row r="2563" spans="7:23" x14ac:dyDescent="0.25"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</row>
    <row r="2564" spans="7:23" x14ac:dyDescent="0.25"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</row>
    <row r="2565" spans="7:23" x14ac:dyDescent="0.25"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</row>
    <row r="2566" spans="7:23" x14ac:dyDescent="0.25"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</row>
    <row r="2567" spans="7:23" x14ac:dyDescent="0.25"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</row>
    <row r="2568" spans="7:23" x14ac:dyDescent="0.25"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</row>
    <row r="2569" spans="7:23" x14ac:dyDescent="0.25"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</row>
    <row r="2570" spans="7:23" x14ac:dyDescent="0.25"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</row>
    <row r="2571" spans="7:23" x14ac:dyDescent="0.25"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</row>
    <row r="2572" spans="7:23" x14ac:dyDescent="0.25"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</row>
    <row r="2573" spans="7:23" x14ac:dyDescent="0.25"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</row>
    <row r="2574" spans="7:23" x14ac:dyDescent="0.25"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</row>
    <row r="2575" spans="7:23" x14ac:dyDescent="0.25"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</row>
    <row r="2576" spans="7:23" x14ac:dyDescent="0.25"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</row>
    <row r="2577" spans="7:23" x14ac:dyDescent="0.25"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</row>
    <row r="2578" spans="7:23" x14ac:dyDescent="0.25"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</row>
    <row r="2579" spans="7:23" x14ac:dyDescent="0.25"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</row>
    <row r="2580" spans="7:23" x14ac:dyDescent="0.25"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</row>
    <row r="2581" spans="7:23" x14ac:dyDescent="0.25"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</row>
    <row r="2582" spans="7:23" x14ac:dyDescent="0.25"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</row>
    <row r="2583" spans="7:23" x14ac:dyDescent="0.25"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</row>
    <row r="2584" spans="7:23" x14ac:dyDescent="0.25"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</row>
    <row r="2585" spans="7:23" x14ac:dyDescent="0.25"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</row>
    <row r="2586" spans="7:23" x14ac:dyDescent="0.25"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</row>
    <row r="2587" spans="7:23" x14ac:dyDescent="0.25"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</row>
    <row r="2588" spans="7:23" x14ac:dyDescent="0.25"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</row>
    <row r="2589" spans="7:23" x14ac:dyDescent="0.25"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</row>
    <row r="2590" spans="7:23" x14ac:dyDescent="0.25"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</row>
    <row r="2591" spans="7:23" x14ac:dyDescent="0.25"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</row>
    <row r="2592" spans="7:23" x14ac:dyDescent="0.25"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</row>
    <row r="2593" spans="7:23" x14ac:dyDescent="0.25"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</row>
    <row r="2594" spans="7:23" x14ac:dyDescent="0.25"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</row>
    <row r="2595" spans="7:23" x14ac:dyDescent="0.25"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</row>
    <row r="2596" spans="7:23" x14ac:dyDescent="0.25"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</row>
    <row r="2597" spans="7:23" x14ac:dyDescent="0.25"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</row>
    <row r="2598" spans="7:23" x14ac:dyDescent="0.25"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</row>
    <row r="2599" spans="7:23" x14ac:dyDescent="0.25"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</row>
    <row r="2600" spans="7:23" x14ac:dyDescent="0.25"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</row>
    <row r="2601" spans="7:23" x14ac:dyDescent="0.25"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</row>
    <row r="2602" spans="7:23" x14ac:dyDescent="0.25"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</row>
    <row r="2603" spans="7:23" x14ac:dyDescent="0.25"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</row>
    <row r="2604" spans="7:23" x14ac:dyDescent="0.25"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</row>
    <row r="2605" spans="7:23" x14ac:dyDescent="0.25"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</row>
    <row r="2606" spans="7:23" x14ac:dyDescent="0.25"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</row>
    <row r="2607" spans="7:23" x14ac:dyDescent="0.25"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</row>
    <row r="2608" spans="7:23" x14ac:dyDescent="0.25"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</row>
    <row r="2609" spans="7:23" x14ac:dyDescent="0.25"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</row>
    <row r="2610" spans="7:23" x14ac:dyDescent="0.25"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</row>
    <row r="2611" spans="7:23" x14ac:dyDescent="0.25"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</row>
    <row r="2612" spans="7:23" x14ac:dyDescent="0.25"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</row>
    <row r="2613" spans="7:23" x14ac:dyDescent="0.25"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</row>
    <row r="2614" spans="7:23" x14ac:dyDescent="0.25"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</row>
    <row r="2615" spans="7:23" x14ac:dyDescent="0.25"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</row>
    <row r="2616" spans="7:23" x14ac:dyDescent="0.25"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</row>
    <row r="2617" spans="7:23" x14ac:dyDescent="0.25"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</row>
    <row r="2618" spans="7:23" x14ac:dyDescent="0.25"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</row>
    <row r="2619" spans="7:23" x14ac:dyDescent="0.25"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</row>
    <row r="2620" spans="7:23" x14ac:dyDescent="0.25"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</row>
    <row r="2621" spans="7:23" x14ac:dyDescent="0.25"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</row>
    <row r="2622" spans="7:23" x14ac:dyDescent="0.25"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</row>
    <row r="2623" spans="7:23" x14ac:dyDescent="0.25"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</row>
    <row r="2624" spans="7:23" x14ac:dyDescent="0.25"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</row>
    <row r="2625" spans="7:23" x14ac:dyDescent="0.25"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</row>
    <row r="2626" spans="7:23" x14ac:dyDescent="0.25"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</row>
    <row r="2627" spans="7:23" x14ac:dyDescent="0.25"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</row>
    <row r="2628" spans="7:23" x14ac:dyDescent="0.25"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</row>
    <row r="2629" spans="7:23" x14ac:dyDescent="0.25"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</row>
    <row r="2630" spans="7:23" x14ac:dyDescent="0.25"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</row>
    <row r="2631" spans="7:23" x14ac:dyDescent="0.25"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</row>
    <row r="2632" spans="7:23" x14ac:dyDescent="0.25"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</row>
    <row r="2633" spans="7:23" x14ac:dyDescent="0.25"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</row>
    <row r="2634" spans="7:23" x14ac:dyDescent="0.25"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</row>
    <row r="2635" spans="7:23" x14ac:dyDescent="0.25"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</row>
    <row r="2636" spans="7:23" x14ac:dyDescent="0.25"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</row>
    <row r="2637" spans="7:23" x14ac:dyDescent="0.25"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</row>
    <row r="2638" spans="7:23" x14ac:dyDescent="0.25"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</row>
    <row r="2639" spans="7:23" x14ac:dyDescent="0.25"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</row>
    <row r="2640" spans="7:23" x14ac:dyDescent="0.25"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</row>
    <row r="2641" spans="7:23" x14ac:dyDescent="0.25"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</row>
    <row r="2642" spans="7:23" x14ac:dyDescent="0.25"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</row>
    <row r="2643" spans="7:23" x14ac:dyDescent="0.25"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</row>
    <row r="2644" spans="7:23" x14ac:dyDescent="0.25"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</row>
    <row r="2645" spans="7:23" x14ac:dyDescent="0.25"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</row>
    <row r="2646" spans="7:23" x14ac:dyDescent="0.25"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</row>
    <row r="2647" spans="7:23" x14ac:dyDescent="0.25"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</row>
    <row r="2648" spans="7:23" x14ac:dyDescent="0.25"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</row>
    <row r="2649" spans="7:23" x14ac:dyDescent="0.25"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</row>
    <row r="2650" spans="7:23" x14ac:dyDescent="0.25"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</row>
    <row r="2651" spans="7:23" x14ac:dyDescent="0.25"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</row>
    <row r="2652" spans="7:23" x14ac:dyDescent="0.25"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</row>
    <row r="2653" spans="7:23" x14ac:dyDescent="0.25"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</row>
    <row r="2654" spans="7:23" x14ac:dyDescent="0.25"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</row>
    <row r="2655" spans="7:23" x14ac:dyDescent="0.25"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</row>
    <row r="2656" spans="7:23" x14ac:dyDescent="0.25"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</row>
    <row r="2657" spans="7:23" x14ac:dyDescent="0.25"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</row>
    <row r="2658" spans="7:23" x14ac:dyDescent="0.25"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</row>
    <row r="2659" spans="7:23" x14ac:dyDescent="0.25"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</row>
    <row r="2660" spans="7:23" x14ac:dyDescent="0.25"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</row>
    <row r="2661" spans="7:23" x14ac:dyDescent="0.25"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</row>
    <row r="2662" spans="7:23" x14ac:dyDescent="0.25"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</row>
    <row r="2663" spans="7:23" x14ac:dyDescent="0.25"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</row>
    <row r="2664" spans="7:23" x14ac:dyDescent="0.25"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</row>
    <row r="2665" spans="7:23" x14ac:dyDescent="0.25"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</row>
    <row r="2666" spans="7:23" x14ac:dyDescent="0.25"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</row>
    <row r="2667" spans="7:23" x14ac:dyDescent="0.25"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</row>
    <row r="2668" spans="7:23" x14ac:dyDescent="0.25"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</row>
    <row r="2669" spans="7:23" x14ac:dyDescent="0.25"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</row>
    <row r="2670" spans="7:23" x14ac:dyDescent="0.25"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</row>
    <row r="2671" spans="7:23" x14ac:dyDescent="0.25"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</row>
    <row r="2672" spans="7:23" x14ac:dyDescent="0.25"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</row>
    <row r="2673" spans="7:23" x14ac:dyDescent="0.25"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</row>
    <row r="2674" spans="7:23" x14ac:dyDescent="0.25"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</row>
    <row r="2675" spans="7:23" x14ac:dyDescent="0.25"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</row>
    <row r="2676" spans="7:23" x14ac:dyDescent="0.25"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</row>
    <row r="2677" spans="7:23" x14ac:dyDescent="0.25"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</row>
    <row r="2678" spans="7:23" x14ac:dyDescent="0.25"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</row>
    <row r="2679" spans="7:23" x14ac:dyDescent="0.25"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</row>
    <row r="2680" spans="7:23" x14ac:dyDescent="0.25"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</row>
    <row r="2681" spans="7:23" x14ac:dyDescent="0.25"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</row>
    <row r="2682" spans="7:23" x14ac:dyDescent="0.25"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</row>
    <row r="2683" spans="7:23" x14ac:dyDescent="0.25"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</row>
    <row r="2684" spans="7:23" x14ac:dyDescent="0.25"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</row>
    <row r="2685" spans="7:23" x14ac:dyDescent="0.25"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</row>
    <row r="2686" spans="7:23" x14ac:dyDescent="0.25"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</row>
    <row r="2687" spans="7:23" x14ac:dyDescent="0.25"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</row>
    <row r="2688" spans="7:23" x14ac:dyDescent="0.25"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</row>
    <row r="2689" spans="7:23" x14ac:dyDescent="0.25"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</row>
    <row r="2690" spans="7:23" x14ac:dyDescent="0.25"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</row>
    <row r="2691" spans="7:23" x14ac:dyDescent="0.25"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</row>
    <row r="2692" spans="7:23" x14ac:dyDescent="0.25"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</row>
    <row r="2693" spans="7:23" x14ac:dyDescent="0.25"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</row>
    <row r="2694" spans="7:23" x14ac:dyDescent="0.25"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</row>
    <row r="2695" spans="7:23" x14ac:dyDescent="0.25"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</row>
    <row r="2696" spans="7:23" x14ac:dyDescent="0.25"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</row>
    <row r="2697" spans="7:23" x14ac:dyDescent="0.25"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</row>
    <row r="2698" spans="7:23" x14ac:dyDescent="0.25"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</row>
    <row r="2699" spans="7:23" x14ac:dyDescent="0.25"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</row>
    <row r="2700" spans="7:23" x14ac:dyDescent="0.25"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</row>
    <row r="2701" spans="7:23" x14ac:dyDescent="0.25"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</row>
    <row r="2702" spans="7:23" x14ac:dyDescent="0.25"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</row>
    <row r="2703" spans="7:23" x14ac:dyDescent="0.25"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</row>
    <row r="2704" spans="7:23" x14ac:dyDescent="0.25"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</row>
    <row r="2705" spans="7:23" x14ac:dyDescent="0.25"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</row>
    <row r="2706" spans="7:23" x14ac:dyDescent="0.25"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</row>
    <row r="2707" spans="7:23" x14ac:dyDescent="0.25"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</row>
    <row r="2708" spans="7:23" x14ac:dyDescent="0.25"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</row>
    <row r="2709" spans="7:23" x14ac:dyDescent="0.25"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</row>
    <row r="2710" spans="7:23" x14ac:dyDescent="0.25"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</row>
    <row r="2711" spans="7:23" x14ac:dyDescent="0.25"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</row>
    <row r="2712" spans="7:23" x14ac:dyDescent="0.25"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</row>
    <row r="2713" spans="7:23" x14ac:dyDescent="0.25"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</row>
    <row r="2714" spans="7:23" x14ac:dyDescent="0.25"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</row>
    <row r="2715" spans="7:23" x14ac:dyDescent="0.25"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</row>
    <row r="2716" spans="7:23" x14ac:dyDescent="0.25"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</row>
    <row r="2717" spans="7:23" x14ac:dyDescent="0.25"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</row>
    <row r="2718" spans="7:23" x14ac:dyDescent="0.25"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</row>
    <row r="2719" spans="7:23" x14ac:dyDescent="0.25"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</row>
    <row r="2720" spans="7:23" x14ac:dyDescent="0.25"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</row>
    <row r="2721" spans="7:23" x14ac:dyDescent="0.25"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</row>
    <row r="2722" spans="7:23" x14ac:dyDescent="0.25"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</row>
    <row r="2723" spans="7:23" x14ac:dyDescent="0.25"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</row>
    <row r="2724" spans="7:23" x14ac:dyDescent="0.25"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</row>
    <row r="2725" spans="7:23" x14ac:dyDescent="0.25"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</row>
    <row r="2726" spans="7:23" x14ac:dyDescent="0.25"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</row>
    <row r="2727" spans="7:23" x14ac:dyDescent="0.25"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</row>
    <row r="2728" spans="7:23" x14ac:dyDescent="0.25"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</row>
    <row r="2729" spans="7:23" x14ac:dyDescent="0.25"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</row>
    <row r="2730" spans="7:23" x14ac:dyDescent="0.25"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</row>
    <row r="2731" spans="7:23" x14ac:dyDescent="0.25"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</row>
    <row r="2732" spans="7:23" x14ac:dyDescent="0.25"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</row>
    <row r="2733" spans="7:23" x14ac:dyDescent="0.25"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</row>
    <row r="2734" spans="7:23" x14ac:dyDescent="0.25"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</row>
    <row r="2735" spans="7:23" x14ac:dyDescent="0.25"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</row>
    <row r="2736" spans="7:23" x14ac:dyDescent="0.25"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</row>
    <row r="2737" spans="7:23" x14ac:dyDescent="0.25"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</row>
    <row r="2738" spans="7:23" x14ac:dyDescent="0.25"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</row>
    <row r="2739" spans="7:23" x14ac:dyDescent="0.25"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</row>
    <row r="2740" spans="7:23" x14ac:dyDescent="0.25"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</row>
    <row r="2741" spans="7:23" x14ac:dyDescent="0.25"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</row>
    <row r="2742" spans="7:23" x14ac:dyDescent="0.25"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</row>
    <row r="2743" spans="7:23" x14ac:dyDescent="0.25"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</row>
    <row r="2744" spans="7:23" x14ac:dyDescent="0.25"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</row>
    <row r="2745" spans="7:23" x14ac:dyDescent="0.25"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</row>
    <row r="2746" spans="7:23" x14ac:dyDescent="0.25"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</row>
    <row r="2747" spans="7:23" x14ac:dyDescent="0.25"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</row>
    <row r="2748" spans="7:23" x14ac:dyDescent="0.25"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</row>
    <row r="2749" spans="7:23" x14ac:dyDescent="0.25"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</row>
    <row r="2750" spans="7:23" x14ac:dyDescent="0.25"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</row>
    <row r="2751" spans="7:23" x14ac:dyDescent="0.25"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</row>
    <row r="2752" spans="7:23" x14ac:dyDescent="0.25"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</row>
    <row r="2753" spans="7:23" x14ac:dyDescent="0.25"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</row>
    <row r="2754" spans="7:23" x14ac:dyDescent="0.25"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</row>
    <row r="2755" spans="7:23" x14ac:dyDescent="0.25"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</row>
    <row r="2756" spans="7:23" x14ac:dyDescent="0.25"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</row>
    <row r="2757" spans="7:23" x14ac:dyDescent="0.25"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</row>
    <row r="2758" spans="7:23" x14ac:dyDescent="0.25"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</row>
    <row r="2759" spans="7:23" x14ac:dyDescent="0.25"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</row>
    <row r="2760" spans="7:23" x14ac:dyDescent="0.25"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</row>
    <row r="2761" spans="7:23" x14ac:dyDescent="0.25"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</row>
    <row r="2762" spans="7:23" x14ac:dyDescent="0.25"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</row>
    <row r="2763" spans="7:23" x14ac:dyDescent="0.25"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</row>
    <row r="2764" spans="7:23" x14ac:dyDescent="0.25"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</row>
    <row r="2765" spans="7:23" x14ac:dyDescent="0.25"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</row>
    <row r="2766" spans="7:23" x14ac:dyDescent="0.25"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</row>
    <row r="2767" spans="7:23" x14ac:dyDescent="0.25"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</row>
    <row r="2768" spans="7:23" x14ac:dyDescent="0.25"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</row>
    <row r="2769" spans="7:23" x14ac:dyDescent="0.25"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</row>
    <row r="2770" spans="7:23" x14ac:dyDescent="0.25"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</row>
    <row r="2771" spans="7:23" x14ac:dyDescent="0.25"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</row>
    <row r="2772" spans="7:23" x14ac:dyDescent="0.25"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</row>
    <row r="2773" spans="7:23" x14ac:dyDescent="0.25"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</row>
    <row r="2774" spans="7:23" x14ac:dyDescent="0.25"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</row>
    <row r="2775" spans="7:23" x14ac:dyDescent="0.25"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</row>
    <row r="2776" spans="7:23" x14ac:dyDescent="0.25"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</row>
    <row r="2777" spans="7:23" x14ac:dyDescent="0.25"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</row>
    <row r="2778" spans="7:23" x14ac:dyDescent="0.25"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</row>
    <row r="2779" spans="7:23" x14ac:dyDescent="0.25"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</row>
    <row r="2780" spans="7:23" x14ac:dyDescent="0.25"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</row>
    <row r="2781" spans="7:23" x14ac:dyDescent="0.25"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</row>
    <row r="2782" spans="7:23" x14ac:dyDescent="0.25"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</row>
    <row r="2783" spans="7:23" x14ac:dyDescent="0.25"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</row>
    <row r="2784" spans="7:23" x14ac:dyDescent="0.25"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</row>
    <row r="2785" spans="7:23" x14ac:dyDescent="0.25"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</row>
    <row r="2786" spans="7:23" x14ac:dyDescent="0.25"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</row>
    <row r="2787" spans="7:23" x14ac:dyDescent="0.25"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</row>
    <row r="2788" spans="7:23" x14ac:dyDescent="0.25"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</row>
    <row r="2789" spans="7:23" x14ac:dyDescent="0.25"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</row>
    <row r="2790" spans="7:23" x14ac:dyDescent="0.25"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</row>
    <row r="2791" spans="7:23" x14ac:dyDescent="0.25"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</row>
    <row r="2792" spans="7:23" x14ac:dyDescent="0.25"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</row>
    <row r="2793" spans="7:23" x14ac:dyDescent="0.25"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</row>
    <row r="2794" spans="7:23" x14ac:dyDescent="0.25"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</row>
    <row r="2795" spans="7:23" x14ac:dyDescent="0.25"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</row>
    <row r="2796" spans="7:23" x14ac:dyDescent="0.25"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</row>
    <row r="2797" spans="7:23" x14ac:dyDescent="0.25"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</row>
    <row r="2798" spans="7:23" x14ac:dyDescent="0.25"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</row>
    <row r="2799" spans="7:23" x14ac:dyDescent="0.25"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</row>
    <row r="2800" spans="7:23" x14ac:dyDescent="0.25"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</row>
    <row r="2801" spans="7:23" x14ac:dyDescent="0.25"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</row>
    <row r="2802" spans="7:23" x14ac:dyDescent="0.25"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</row>
    <row r="2803" spans="7:23" x14ac:dyDescent="0.25"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</row>
    <row r="2804" spans="7:23" x14ac:dyDescent="0.25"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</row>
    <row r="2805" spans="7:23" x14ac:dyDescent="0.25"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</row>
    <row r="2806" spans="7:23" x14ac:dyDescent="0.25"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</row>
    <row r="2807" spans="7:23" x14ac:dyDescent="0.25"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</row>
    <row r="2808" spans="7:23" x14ac:dyDescent="0.25"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</row>
    <row r="2809" spans="7:23" x14ac:dyDescent="0.25"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</row>
    <row r="2810" spans="7:23" x14ac:dyDescent="0.25"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</row>
    <row r="2811" spans="7:23" x14ac:dyDescent="0.25"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</row>
    <row r="2812" spans="7:23" x14ac:dyDescent="0.25"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</row>
    <row r="2813" spans="7:23" x14ac:dyDescent="0.25"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</row>
    <row r="2814" spans="7:23" x14ac:dyDescent="0.25"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</row>
    <row r="2815" spans="7:23" x14ac:dyDescent="0.25"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</row>
    <row r="2816" spans="7:23" x14ac:dyDescent="0.25"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</row>
    <row r="2817" spans="7:23" x14ac:dyDescent="0.25"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</row>
    <row r="2818" spans="7:23" x14ac:dyDescent="0.25"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</row>
    <row r="2819" spans="7:23" x14ac:dyDescent="0.25"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</row>
    <row r="2820" spans="7:23" x14ac:dyDescent="0.25"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</row>
    <row r="2821" spans="7:23" x14ac:dyDescent="0.25"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</row>
    <row r="2822" spans="7:23" x14ac:dyDescent="0.25"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</row>
    <row r="2823" spans="7:23" x14ac:dyDescent="0.25"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</row>
    <row r="2824" spans="7:23" x14ac:dyDescent="0.25"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</row>
    <row r="2825" spans="7:23" x14ac:dyDescent="0.25"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</row>
    <row r="2826" spans="7:23" x14ac:dyDescent="0.25"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</row>
    <row r="2827" spans="7:23" x14ac:dyDescent="0.25"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</row>
    <row r="2828" spans="7:23" x14ac:dyDescent="0.25"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</row>
    <row r="2829" spans="7:23" x14ac:dyDescent="0.25"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</row>
    <row r="2830" spans="7:23" x14ac:dyDescent="0.25"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</row>
    <row r="2831" spans="7:23" x14ac:dyDescent="0.25"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</row>
    <row r="2832" spans="7:23" x14ac:dyDescent="0.25"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</row>
    <row r="2833" spans="7:23" x14ac:dyDescent="0.25"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</row>
    <row r="2834" spans="7:23" x14ac:dyDescent="0.25"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</row>
    <row r="2835" spans="7:23" x14ac:dyDescent="0.25"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</row>
    <row r="2836" spans="7:23" x14ac:dyDescent="0.25"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</row>
    <row r="2837" spans="7:23" x14ac:dyDescent="0.25"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</row>
    <row r="2838" spans="7:23" x14ac:dyDescent="0.25"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</row>
    <row r="2839" spans="7:23" x14ac:dyDescent="0.25"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</row>
    <row r="2840" spans="7:23" x14ac:dyDescent="0.25"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</row>
    <row r="2841" spans="7:23" x14ac:dyDescent="0.25"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</row>
    <row r="2842" spans="7:23" x14ac:dyDescent="0.25"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</row>
    <row r="2843" spans="7:23" x14ac:dyDescent="0.25"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</row>
    <row r="2844" spans="7:23" x14ac:dyDescent="0.25"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</row>
    <row r="2845" spans="7:23" x14ac:dyDescent="0.25"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</row>
    <row r="2846" spans="7:23" x14ac:dyDescent="0.25"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</row>
    <row r="2847" spans="7:23" x14ac:dyDescent="0.25"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</row>
    <row r="2848" spans="7:23" x14ac:dyDescent="0.25"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</row>
    <row r="2849" spans="7:23" x14ac:dyDescent="0.25"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</row>
    <row r="2850" spans="7:23" x14ac:dyDescent="0.25"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G1:W40">
    <cfRule type="cellIs" dxfId="2" priority="2" operator="equal">
      <formula>0</formula>
    </cfRule>
    <cfRule type="cellIs" dxfId="1" priority="3" operator="equal">
      <formula>-1</formula>
    </cfRule>
  </conditionalFormatting>
  <conditionalFormatting sqref="G2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0" zoomScaleNormal="100" workbookViewId="0">
      <selection activeCell="J7" sqref="J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54</v>
      </c>
      <c r="B1" s="41" t="s">
        <v>162</v>
      </c>
    </row>
    <row r="2" spans="1:7" s="41" customFormat="1" ht="21" x14ac:dyDescent="0.35">
      <c r="B2" s="41" t="s">
        <v>159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160</v>
      </c>
      <c r="B4" s="1"/>
      <c r="C4" s="1"/>
      <c r="D4" s="1"/>
      <c r="E4" s="1"/>
      <c r="F4" s="1"/>
      <c r="G4" s="1"/>
    </row>
    <row r="5" spans="1:7" ht="15" x14ac:dyDescent="0.25">
      <c r="A5" s="20" t="s">
        <v>63</v>
      </c>
      <c r="B5" s="21" t="s">
        <v>78</v>
      </c>
      <c r="C5" s="22" t="s">
        <v>70</v>
      </c>
      <c r="D5" s="21" t="s">
        <v>74</v>
      </c>
      <c r="E5" s="22" t="s">
        <v>75</v>
      </c>
      <c r="F5" s="23" t="s">
        <v>76</v>
      </c>
    </row>
    <row r="6" spans="1:7" ht="15" x14ac:dyDescent="0.25">
      <c r="A6" s="7" t="s">
        <v>40</v>
      </c>
      <c r="B6" s="12">
        <f>VLOOKUP($A6,Dataset!$A$1:$X$40,MATCH($B$5,Dataset!$A$1:$X$1,0),0)</f>
        <v>2.7</v>
      </c>
      <c r="C6" s="12">
        <f>VLOOKUP($A6,Dataset!$A$1:$X$40,MATCH($C$5,Dataset!$A$1:$X$1,0),0)</f>
        <v>7.6</v>
      </c>
      <c r="D6" s="12">
        <f>VLOOKUP($A6,Dataset!$A$1:$X$40,MATCH($D$5,Dataset!$A$1:$X$1,0),0)</f>
        <v>4.2</v>
      </c>
      <c r="E6" s="12">
        <f>VLOOKUP($A6,Dataset!$A$1:$X$40,MATCH($E$5,Dataset!$A$1:$X$1,0),0)</f>
        <v>8.9</v>
      </c>
      <c r="F6" s="8">
        <f>VLOOKUP($A6,Dataset!$A$1:$X$40,MATCH($F$5,Dataset!$A$1:$X$1,0),0)</f>
        <v>4.2</v>
      </c>
    </row>
    <row r="7" spans="1:7" ht="15" x14ac:dyDescent="0.25">
      <c r="A7" s="7" t="s">
        <v>4</v>
      </c>
      <c r="B7" s="12">
        <f>VLOOKUP($A7,Dataset!$A$1:$X$40,MATCH($B$5,Dataset!$A$1:$X$1,0),0)</f>
        <v>2.7</v>
      </c>
      <c r="C7" s="12">
        <f>VLOOKUP($A7,Dataset!$A$1:$X$40,MATCH($C$5,Dataset!$A$1:$X$1,0),0)</f>
        <v>7.6</v>
      </c>
      <c r="D7" s="12">
        <f>VLOOKUP($A7,Dataset!$A$1:$X$40,MATCH($D$5,Dataset!$A$1:$X$1,0),0)</f>
        <v>4.2</v>
      </c>
      <c r="E7" s="12">
        <f>VLOOKUP($A7,Dataset!$A$1:$X$40,MATCH($E$5,Dataset!$A$1:$X$1,0),0)</f>
        <v>8.9</v>
      </c>
      <c r="F7" s="8">
        <f>VLOOKUP($A7,Dataset!$A$1:$X$40,MATCH($F$5,Dataset!$A$1:$X$1,0),0)</f>
        <v>4.2</v>
      </c>
    </row>
    <row r="8" spans="1:7" ht="15" x14ac:dyDescent="0.25">
      <c r="A8" s="7" t="s">
        <v>7</v>
      </c>
      <c r="B8" s="12">
        <f>VLOOKUP($A8,Dataset!$A$1:$X$40,MATCH($B$5,Dataset!$A$1:$X$1,0),0)</f>
        <v>3.6</v>
      </c>
      <c r="C8" s="12">
        <f>VLOOKUP($A8,Dataset!$A$1:$X$40,MATCH($C$5,Dataset!$A$1:$X$1,0),0)</f>
        <v>11.1</v>
      </c>
      <c r="D8" s="12">
        <f>VLOOKUP($A8,Dataset!$A$1:$X$40,MATCH($D$5,Dataset!$A$1:$X$1,0),0)</f>
        <v>5.8</v>
      </c>
      <c r="E8" s="12">
        <f>VLOOKUP($A8,Dataset!$A$1:$X$40,MATCH($E$5,Dataset!$A$1:$X$1,0),0)</f>
        <v>12.2</v>
      </c>
      <c r="F8" s="8">
        <f>VLOOKUP($A8,Dataset!$A$1:$X$40,MATCH($F$5,Dataset!$A$1:$X$1,0),0)</f>
        <v>5.8</v>
      </c>
    </row>
    <row r="9" spans="1:7" ht="15" x14ac:dyDescent="0.25">
      <c r="A9" s="7" t="s">
        <v>8</v>
      </c>
      <c r="B9" s="12">
        <f>VLOOKUP($A9,Dataset!$A$1:$X$40,MATCH($B$5,Dataset!$A$1:$X$1,0),0)</f>
        <v>4.9000000000000004</v>
      </c>
      <c r="C9" s="12">
        <f>VLOOKUP($A9,Dataset!$A$1:$X$40,MATCH($C$5,Dataset!$A$1:$X$1,0),0)</f>
        <v>13.3</v>
      </c>
      <c r="D9" s="12">
        <f>VLOOKUP($A9,Dataset!$A$1:$X$40,MATCH($D$5,Dataset!$A$1:$X$1,0),0)</f>
        <v>8.1</v>
      </c>
      <c r="E9" s="12">
        <f>VLOOKUP($A9,Dataset!$A$1:$X$40,MATCH($E$5,Dataset!$A$1:$X$1,0),0)</f>
        <v>17</v>
      </c>
      <c r="F9" s="8">
        <f>VLOOKUP($A9,Dataset!$A$1:$X$40,MATCH($F$5,Dataset!$A$1:$X$1,0),0)</f>
        <v>8.1</v>
      </c>
    </row>
    <row r="10" spans="1:7" ht="15" x14ac:dyDescent="0.25">
      <c r="A10" s="7" t="s">
        <v>11</v>
      </c>
      <c r="B10" s="12">
        <f>VLOOKUP($A10,Dataset!$A$1:$X$40,MATCH($B$5,Dataset!$A$1:$X$1,0),0)</f>
        <v>9.4</v>
      </c>
      <c r="C10" s="12">
        <f>VLOOKUP($A10,Dataset!$A$1:$X$40,MATCH($C$5,Dataset!$A$1:$X$1,0),0)</f>
        <v>28.3</v>
      </c>
      <c r="D10" s="12">
        <f>VLOOKUP($A10,Dataset!$A$1:$X$40,MATCH($D$5,Dataset!$A$1:$X$1,0),0)</f>
        <v>16.100000000000001</v>
      </c>
      <c r="E10" s="12">
        <f>VLOOKUP($A10,Dataset!$A$1:$X$40,MATCH($E$5,Dataset!$A$1:$X$1,0),0)</f>
        <v>32.799999999999997</v>
      </c>
      <c r="F10" s="8">
        <f>VLOOKUP($A10,Dataset!$A$1:$X$40,MATCH($F$5,Dataset!$A$1:$X$1,0),0)</f>
        <v>16.100000000000001</v>
      </c>
    </row>
    <row r="11" spans="1:7" ht="15" x14ac:dyDescent="0.25">
      <c r="A11" s="7" t="s">
        <v>12</v>
      </c>
      <c r="B11" s="12">
        <f>VLOOKUP($A11,Dataset!$A$1:$X$40,MATCH(Task_2!$B$5,Dataset!$A$1:$X$1,0),0)</f>
        <v>11.6</v>
      </c>
      <c r="C11" s="12">
        <f>VLOOKUP($A11,Dataset!$A$1:$X$40,MATCH($C$5,Dataset!$A$1:$X$1,0),0)</f>
        <v>35.200000000000003</v>
      </c>
      <c r="D11" s="12">
        <f>VLOOKUP($A11,Dataset!$A$1:$X$40,MATCH($D$5,Dataset!$A$1:$X$1,0),0)</f>
        <v>21.3</v>
      </c>
      <c r="E11" s="12">
        <f>VLOOKUP($A11,Dataset!$A$1:$X$40,MATCH($E$5,Dataset!$A$1:$X$1,0),0)</f>
        <v>43</v>
      </c>
      <c r="F11" s="8">
        <f>VLOOKUP($A11,Dataset!$A$1:$X$40,MATCH($F$5,Dataset!$A$1:$X$1,0),0)</f>
        <v>21.3</v>
      </c>
    </row>
    <row r="12" spans="1:7" ht="15" x14ac:dyDescent="0.25">
      <c r="A12" s="7" t="s">
        <v>14</v>
      </c>
      <c r="B12" s="12">
        <f>VLOOKUP($A12,Dataset!$A$1:$X$40,MATCH(Task_2!$B$5,Dataset!$A$1:$X$1,0),0)</f>
        <v>18.399999999999999</v>
      </c>
      <c r="C12" s="12">
        <f>VLOOKUP($A12,Dataset!$A$1:$X$40,MATCH($C$5,Dataset!$A$1:$X$1,0),0)</f>
        <v>55.6</v>
      </c>
      <c r="D12" s="12">
        <f>VLOOKUP($A12,Dataset!$A$1:$X$40,MATCH($D$5,Dataset!$A$1:$X$1,0),0)</f>
        <v>33.799999999999997</v>
      </c>
      <c r="E12" s="12">
        <f>VLOOKUP($A12,Dataset!$A$1:$X$40,MATCH($E$5,Dataset!$A$1:$X$1,0),0)</f>
        <v>67.900000000000006</v>
      </c>
      <c r="F12" s="8">
        <f>VLOOKUP($A12,Dataset!$A$1:$X$40,MATCH($F$5,Dataset!$A$1:$X$1,0),0)</f>
        <v>33.799999999999997</v>
      </c>
    </row>
    <row r="13" spans="1:7" ht="15" x14ac:dyDescent="0.25">
      <c r="A13" s="7" t="s">
        <v>15</v>
      </c>
      <c r="B13" s="12">
        <f>VLOOKUP($A13,Dataset!$A$1:$X$40,MATCH(Task_2!$B$5,Dataset!$A$1:$X$1,0),0)</f>
        <v>0</v>
      </c>
      <c r="C13" s="12">
        <f>VLOOKUP($A13,Dataset!$A$1:$X$40,MATCH($C$5,Dataset!$A$1:$X$1,0),0)</f>
        <v>0</v>
      </c>
      <c r="D13" s="12">
        <f>VLOOKUP($A13,Dataset!$A$1:$X$40,MATCH($D$5,Dataset!$A$1:$X$1,0),0)</f>
        <v>0</v>
      </c>
      <c r="E13" s="12">
        <f>VLOOKUP($A13,Dataset!$A$1:$X$40,MATCH($E$5,Dataset!$A$1:$X$1,0),0)</f>
        <v>0</v>
      </c>
      <c r="F13" s="8">
        <f>VLOOKUP($A13,Dataset!$A$1:$X$40,MATCH($F$5,Dataset!$A$1:$X$1,0),0)</f>
        <v>0</v>
      </c>
    </row>
    <row r="14" spans="1:7" ht="15" x14ac:dyDescent="0.25">
      <c r="A14" s="7" t="s">
        <v>16</v>
      </c>
      <c r="B14" s="12">
        <f>VLOOKUP($A14,Dataset!$A$1:$X$40,MATCH(Task_2!$B$5,Dataset!$A$1:$X$1,0),0)</f>
        <v>21.9</v>
      </c>
      <c r="C14" s="12">
        <f>VLOOKUP($A14,Dataset!$A$1:$X$40,MATCH($C$5,Dataset!$A$1:$X$1,0),0)</f>
        <v>61.5</v>
      </c>
      <c r="D14" s="12">
        <f>VLOOKUP($A14,Dataset!$A$1:$X$40,MATCH($D$5,Dataset!$A$1:$X$1,0),0)</f>
        <v>40.1</v>
      </c>
      <c r="E14" s="12">
        <f>VLOOKUP($A14,Dataset!$A$1:$X$40,MATCH($E$5,Dataset!$A$1:$X$1,0),0)</f>
        <v>76.599999999999994</v>
      </c>
      <c r="F14" s="8">
        <f>VLOOKUP($A14,Dataset!$A$1:$X$40,MATCH($F$5,Dataset!$A$1:$X$1,0),0)</f>
        <v>40.1</v>
      </c>
    </row>
    <row r="15" spans="1:7" ht="15" x14ac:dyDescent="0.25">
      <c r="A15" s="7" t="s">
        <v>18</v>
      </c>
      <c r="B15" s="12">
        <f>VLOOKUP($A15,Dataset!$A$1:$X$40,MATCH(Task_2!$B$5,Dataset!$A$1:$X$1,0),0)</f>
        <v>26.8</v>
      </c>
      <c r="C15" s="12">
        <f>VLOOKUP($A15,Dataset!$A$1:$X$40,MATCH($C$5,Dataset!$A$1:$X$1,0),0)</f>
        <v>79.599999999999994</v>
      </c>
      <c r="D15" s="12">
        <f>VLOOKUP($A15,Dataset!$A$1:$X$40,MATCH($D$5,Dataset!$A$1:$X$1,0),0)</f>
        <v>47.9</v>
      </c>
      <c r="E15" s="12">
        <f>VLOOKUP($A15,Dataset!$A$1:$X$40,MATCH($E$5,Dataset!$A$1:$X$1,0),0)</f>
        <v>96.8</v>
      </c>
      <c r="F15" s="8">
        <f>VLOOKUP($A15,Dataset!$A$1:$X$40,MATCH($F$5,Dataset!$A$1:$X$1,0),0)</f>
        <v>47.9</v>
      </c>
    </row>
    <row r="16" spans="1:7" ht="15" x14ac:dyDescent="0.25">
      <c r="A16" s="7" t="s">
        <v>20</v>
      </c>
      <c r="B16" s="12">
        <f>VLOOKUP($A16,Dataset!$A$1:$X$40,MATCH(Task_2!$B$5,Dataset!$A$1:$X$1,0),0)</f>
        <v>28.5</v>
      </c>
      <c r="C16" s="12">
        <f>VLOOKUP($A16,Dataset!$A$1:$X$40,MATCH($C$5,Dataset!$A$1:$X$1,0),0)</f>
        <v>85.4</v>
      </c>
      <c r="D16" s="12">
        <f>VLOOKUP($A16,Dataset!$A$1:$X$40,MATCH($D$5,Dataset!$A$1:$X$1,0),0)</f>
        <v>52.3</v>
      </c>
      <c r="E16" s="12">
        <f>VLOOKUP($A16,Dataset!$A$1:$X$40,MATCH($E$5,Dataset!$A$1:$X$1,0),0)</f>
        <v>106.1</v>
      </c>
      <c r="F16" s="8">
        <f>VLOOKUP($A16,Dataset!$A$1:$X$40,MATCH($F$5,Dataset!$A$1:$X$1,0),0)</f>
        <v>52.3</v>
      </c>
    </row>
    <row r="17" spans="1:6" ht="15" x14ac:dyDescent="0.25">
      <c r="A17" s="7" t="s">
        <v>22</v>
      </c>
      <c r="B17" s="12">
        <f>VLOOKUP($A17,Dataset!$A$1:$X$40,MATCH(Task_2!$B$5,Dataset!$A$1:$X$1,0),0)</f>
        <v>30.7</v>
      </c>
      <c r="C17" s="12">
        <f>VLOOKUP($A17,Dataset!$A$1:$X$40,MATCH($C$5,Dataset!$A$1:$X$1,0),0)</f>
        <v>92.1</v>
      </c>
      <c r="D17" s="12">
        <f>VLOOKUP($A17,Dataset!$A$1:$X$40,MATCH($D$5,Dataset!$A$1:$X$1,0),0)</f>
        <v>57</v>
      </c>
      <c r="E17" s="12">
        <f>VLOOKUP($A17,Dataset!$A$1:$X$40,MATCH($E$5,Dataset!$A$1:$X$1,0),0)</f>
        <v>115.1</v>
      </c>
      <c r="F17" s="8">
        <f>VLOOKUP($A17,Dataset!$A$1:$X$40,MATCH($F$5,Dataset!$A$1:$X$1,0),0)</f>
        <v>57</v>
      </c>
    </row>
    <row r="18" spans="1:6" ht="15" x14ac:dyDescent="0.25">
      <c r="A18" s="7" t="s">
        <v>23</v>
      </c>
      <c r="B18" s="12">
        <f>VLOOKUP($A18,Dataset!$A$1:$X$40,MATCH(Task_2!$B$5,Dataset!$A$1:$X$1,0),0)</f>
        <v>33.799999999999997</v>
      </c>
      <c r="C18" s="12">
        <f>VLOOKUP($A18,Dataset!$A$1:$X$40,MATCH($C$5,Dataset!$A$1:$X$1,0),0)</f>
        <v>101.3</v>
      </c>
      <c r="D18" s="12">
        <f>VLOOKUP($A18,Dataset!$A$1:$X$40,MATCH($D$5,Dataset!$A$1:$X$1,0),0)</f>
        <v>61.4</v>
      </c>
      <c r="E18" s="12">
        <f>VLOOKUP($A18,Dataset!$A$1:$X$40,MATCH($E$5,Dataset!$A$1:$X$1,0),0)</f>
        <v>124.4</v>
      </c>
      <c r="F18" s="8">
        <f>VLOOKUP($A18,Dataset!$A$1:$X$40,MATCH($F$5,Dataset!$A$1:$X$1,0),0)</f>
        <v>61.4</v>
      </c>
    </row>
    <row r="19" spans="1:6" ht="15" x14ac:dyDescent="0.25">
      <c r="A19" s="7" t="s">
        <v>24</v>
      </c>
      <c r="B19" s="12">
        <f>VLOOKUP($A19,Dataset!$A$1:$X$40,MATCH(Task_2!$B$5,Dataset!$A$1:$X$1,0),0)</f>
        <v>34.700000000000003</v>
      </c>
      <c r="C19" s="12">
        <f>VLOOKUP($A19,Dataset!$A$1:$X$40,MATCH($C$5,Dataset!$A$1:$X$1,0),0)</f>
        <v>106.1</v>
      </c>
      <c r="D19" s="12">
        <f>VLOOKUP($A19,Dataset!$A$1:$X$40,MATCH($D$5,Dataset!$A$1:$X$1,0),0)</f>
        <v>63.6</v>
      </c>
      <c r="E19" s="12">
        <f>VLOOKUP($A19,Dataset!$A$1:$X$40,MATCH($E$5,Dataset!$A$1:$X$1,0),0)</f>
        <v>128.6</v>
      </c>
      <c r="F19" s="8">
        <f>VLOOKUP($A19,Dataset!$A$1:$X$40,MATCH($F$5,Dataset!$A$1:$X$1,0),0)</f>
        <v>63.6</v>
      </c>
    </row>
    <row r="20" spans="1:6" ht="15" x14ac:dyDescent="0.25">
      <c r="A20" s="7" t="s">
        <v>28</v>
      </c>
      <c r="B20" s="12">
        <f>VLOOKUP($A20,Dataset!$A$1:$X$40,MATCH(Task_2!$B$5,Dataset!$A$1:$X$1,0),0)</f>
        <v>0</v>
      </c>
      <c r="C20" s="12">
        <f>VLOOKUP($A20,Dataset!$A$1:$X$40,MATCH($C$5,Dataset!$A$1:$X$1,0),0)</f>
        <v>0</v>
      </c>
      <c r="D20" s="12">
        <f>VLOOKUP($A20,Dataset!$A$1:$X$40,MATCH($D$5,Dataset!$A$1:$X$1,0),0)</f>
        <v>0</v>
      </c>
      <c r="E20" s="12">
        <f>VLOOKUP($A20,Dataset!$A$1:$X$40,MATCH($E$5,Dataset!$A$1:$X$1,0),0)</f>
        <v>0</v>
      </c>
      <c r="F20" s="8">
        <f>VLOOKUP($A20,Dataset!$A$1:$X$40,MATCH($F$5,Dataset!$A$1:$X$1,0),0)</f>
        <v>0</v>
      </c>
    </row>
    <row r="21" spans="1:6" ht="15" x14ac:dyDescent="0.25">
      <c r="A21" s="7" t="s">
        <v>56</v>
      </c>
      <c r="B21" s="12">
        <f>VLOOKUP($A21,Dataset!$A$1:$X$40,MATCH(Task_2!$B$5,Dataset!$A$1:$X$1,0),0)</f>
        <v>41.3</v>
      </c>
      <c r="C21" s="12">
        <f>VLOOKUP($A21,Dataset!$A$1:$X$40,MATCH($C$5,Dataset!$A$1:$X$1,0),0)</f>
        <v>124.4</v>
      </c>
      <c r="D21" s="12">
        <f>VLOOKUP($A21,Dataset!$A$1:$X$40,MATCH($D$5,Dataset!$A$1:$X$1,0),0)</f>
        <v>75</v>
      </c>
      <c r="E21" s="12">
        <f>VLOOKUP($A21,Dataset!$A$1:$X$40,MATCH($E$5,Dataset!$A$1:$X$1,0),0)</f>
        <v>151.5</v>
      </c>
      <c r="F21" s="8">
        <f>VLOOKUP($A21,Dataset!$A$1:$X$40,MATCH($F$5,Dataset!$A$1:$X$1,0),0)</f>
        <v>75</v>
      </c>
    </row>
    <row r="22" spans="1:6" ht="15" x14ac:dyDescent="0.25">
      <c r="A22" s="7" t="s">
        <v>57</v>
      </c>
      <c r="B22" s="12">
        <f>VLOOKUP($A22,Dataset!$A$1:$X$40,MATCH(Task_2!$B$5,Dataset!$A$1:$X$1,0),0)</f>
        <v>-1</v>
      </c>
      <c r="C22" s="12">
        <f>VLOOKUP($A22,Dataset!$A$1:$X$40,MATCH($C$5,Dataset!$A$1:$X$1,0),0)</f>
        <v>-1</v>
      </c>
      <c r="D22" s="12">
        <f>VLOOKUP($A22,Dataset!$A$1:$X$40,MATCH($D$5,Dataset!$A$1:$X$1,0),0)</f>
        <v>-1</v>
      </c>
      <c r="E22" s="12">
        <f>VLOOKUP($A22,Dataset!$A$1:$X$40,MATCH($E$5,Dataset!$A$1:$X$1,0),0)</f>
        <v>-1</v>
      </c>
      <c r="F22" s="8">
        <f>VLOOKUP($A22,Dataset!$A$1:$X$40,MATCH($F$5,Dataset!$A$1:$X$1,0),0)</f>
        <v>-1</v>
      </c>
    </row>
    <row r="23" spans="1:6" ht="15" x14ac:dyDescent="0.25">
      <c r="A23" s="7" t="s">
        <v>31</v>
      </c>
      <c r="B23" s="12">
        <f>VLOOKUP($A23,Dataset!$A$1:$X$40,MATCH(Task_2!$B$5,Dataset!$A$1:$X$1,0),0)</f>
        <v>45</v>
      </c>
      <c r="C23" s="12">
        <f>VLOOKUP($A23,Dataset!$A$1:$X$40,MATCH($C$5,Dataset!$A$1:$X$1,0),0)</f>
        <v>133.4</v>
      </c>
      <c r="D23" s="12">
        <f>VLOOKUP($A23,Dataset!$A$1:$X$40,MATCH($D$5,Dataset!$A$1:$X$1,0),0)</f>
        <v>79.400000000000006</v>
      </c>
      <c r="E23" s="12">
        <f>VLOOKUP($A23,Dataset!$A$1:$X$40,MATCH($E$5,Dataset!$A$1:$X$1,0),0)</f>
        <v>160.9</v>
      </c>
      <c r="F23" s="8">
        <f>VLOOKUP($A23,Dataset!$A$1:$X$40,MATCH($F$5,Dataset!$A$1:$X$1,0),0)</f>
        <v>79.400000000000006</v>
      </c>
    </row>
    <row r="24" spans="1:6" ht="15" x14ac:dyDescent="0.25">
      <c r="A24" s="7" t="s">
        <v>32</v>
      </c>
      <c r="B24" s="12">
        <f>VLOOKUP($A24,Dataset!$A$1:$X$40,MATCH(Task_2!$B$5,Dataset!$A$1:$X$1,0),0)</f>
        <v>-1</v>
      </c>
      <c r="C24" s="12">
        <f>VLOOKUP($A24,Dataset!$A$1:$X$40,MATCH($C$5,Dataset!$A$1:$X$1,0),0)</f>
        <v>-1</v>
      </c>
      <c r="D24" s="12">
        <f>VLOOKUP($A24,Dataset!$A$1:$X$40,MATCH($D$5,Dataset!$A$1:$X$1,0),0)</f>
        <v>-1</v>
      </c>
      <c r="E24" s="12">
        <f>VLOOKUP($A24,Dataset!$A$1:$X$40,MATCH($E$5,Dataset!$A$1:$X$1,0),0)</f>
        <v>-1</v>
      </c>
      <c r="F24" s="8">
        <f>VLOOKUP($A24,Dataset!$A$1:$X$40,MATCH($F$5,Dataset!$A$1:$X$1,0),0)</f>
        <v>-1</v>
      </c>
    </row>
    <row r="25" spans="1:6" ht="15" x14ac:dyDescent="0.25">
      <c r="A25" s="7" t="s">
        <v>34</v>
      </c>
      <c r="B25" s="12">
        <f>VLOOKUP($A25,Dataset!$A$1:$X$40,MATCH(Task_2!$B$5,Dataset!$A$1:$X$1,0),0)</f>
        <v>43.3</v>
      </c>
      <c r="C25" s="12">
        <f>VLOOKUP($A25,Dataset!$A$1:$X$40,MATCH($C$5,Dataset!$A$1:$X$1,0),0)</f>
        <v>128.6</v>
      </c>
      <c r="D25" s="12">
        <f>VLOOKUP($A25,Dataset!$A$1:$X$40,MATCH($D$5,Dataset!$A$1:$X$1,0),0)</f>
        <v>79.400000000000006</v>
      </c>
      <c r="E25" s="12">
        <f>VLOOKUP($A25,Dataset!$A$1:$X$40,MATCH($E$5,Dataset!$A$1:$X$1,0),0)</f>
        <v>160.9</v>
      </c>
      <c r="F25" s="8">
        <f>VLOOKUP($A25,Dataset!$A$1:$X$40,MATCH($F$5,Dataset!$A$1:$X$1,0),0)</f>
        <v>79.400000000000006</v>
      </c>
    </row>
    <row r="26" spans="1:6" ht="15" x14ac:dyDescent="0.25">
      <c r="A26" s="7" t="s">
        <v>37</v>
      </c>
      <c r="B26" s="12">
        <f>VLOOKUP($A26,Dataset!$A$1:$X$40,MATCH(Task_2!$B$5,Dataset!$A$1:$X$1,0),0)</f>
        <v>49.1</v>
      </c>
      <c r="C26" s="12">
        <f>VLOOKUP($A26,Dataset!$A$1:$X$40,MATCH($C$5,Dataset!$A$1:$X$1,0),0)</f>
        <v>146.80000000000001</v>
      </c>
      <c r="D26" s="12">
        <f>VLOOKUP($A26,Dataset!$A$1:$X$40,MATCH($D$5,Dataset!$A$1:$X$1,0),0)</f>
        <v>90.9</v>
      </c>
      <c r="E26" s="12">
        <f>VLOOKUP($A26,Dataset!$A$1:$X$40,MATCH($E$5,Dataset!$A$1:$X$1,0),0)</f>
        <v>183.5</v>
      </c>
      <c r="F26" s="8">
        <f>VLOOKUP($A26,Dataset!$A$1:$X$40,MATCH($F$5,Dataset!$A$1:$X$1,0),0)</f>
        <v>90.9</v>
      </c>
    </row>
    <row r="27" spans="1:6" ht="15" x14ac:dyDescent="0.25">
      <c r="A27" s="7" t="s">
        <v>39</v>
      </c>
      <c r="B27" s="12">
        <f>VLOOKUP($A27,Dataset!$A$1:$X$40,MATCH(Task_2!$B$5,Dataset!$A$1:$X$1,0),0)</f>
        <v>51.8</v>
      </c>
      <c r="C27" s="12">
        <f>VLOOKUP($A27,Dataset!$A$1:$X$40,MATCH($C$5,Dataset!$A$1:$X$1,0),0)</f>
        <v>156.4</v>
      </c>
      <c r="D27" s="12">
        <f>VLOOKUP($A27,Dataset!$A$1:$X$40,MATCH($D$5,Dataset!$A$1:$X$1,0),0)</f>
        <v>93.1</v>
      </c>
      <c r="E27" s="12">
        <f>VLOOKUP($A27,Dataset!$A$1:$X$40,MATCH($E$5,Dataset!$A$1:$X$1,0),0)</f>
        <v>188.1</v>
      </c>
      <c r="F27" s="8">
        <f>VLOOKUP($A27,Dataset!$A$1:$X$40,MATCH($F$5,Dataset!$A$1:$X$1,0),0)</f>
        <v>93.1</v>
      </c>
    </row>
    <row r="28" spans="1:6" ht="15" x14ac:dyDescent="0.25">
      <c r="A28" s="19" t="s">
        <v>81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82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83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9" sqref="C9:C10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75.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46</v>
      </c>
      <c r="B1" s="4" t="s">
        <v>47</v>
      </c>
      <c r="C1" s="4" t="s">
        <v>44</v>
      </c>
      <c r="E1" s="4" t="s">
        <v>174</v>
      </c>
    </row>
    <row r="2" spans="1:5" x14ac:dyDescent="0.25">
      <c r="A2" s="2"/>
      <c r="B2" s="5" t="s">
        <v>158</v>
      </c>
      <c r="C2" s="2"/>
    </row>
    <row r="3" spans="1:5" ht="26.25" x14ac:dyDescent="0.25">
      <c r="A3" s="6">
        <v>1</v>
      </c>
      <c r="B3" s="2" t="s">
        <v>106</v>
      </c>
      <c r="C3" s="47" t="s">
        <v>178</v>
      </c>
      <c r="E3" s="1">
        <v>5</v>
      </c>
    </row>
    <row r="4" spans="1:5" x14ac:dyDescent="0.25">
      <c r="A4" s="6">
        <v>2</v>
      </c>
      <c r="B4" s="2" t="s">
        <v>45</v>
      </c>
      <c r="C4" s="49" t="s">
        <v>176</v>
      </c>
      <c r="E4" s="1">
        <v>5</v>
      </c>
    </row>
    <row r="5" spans="1:5" x14ac:dyDescent="0.25">
      <c r="A5" s="6">
        <v>3</v>
      </c>
      <c r="B5" s="2" t="s">
        <v>103</v>
      </c>
      <c r="C5" s="34">
        <f>SUMIF(Dataset!H21:H40,"&gt;20")</f>
        <v>1093.0999999999999</v>
      </c>
      <c r="E5" s="1">
        <v>10</v>
      </c>
    </row>
    <row r="6" spans="1:5" x14ac:dyDescent="0.25">
      <c r="A6" s="6">
        <v>4</v>
      </c>
      <c r="B6" s="2" t="s">
        <v>105</v>
      </c>
      <c r="C6" s="2" t="s">
        <v>177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V54"/>
  <sheetViews>
    <sheetView zoomScaleNormal="100" workbookViewId="0">
      <selection activeCell="I9" sqref="I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22" s="41" customFormat="1" ht="21" x14ac:dyDescent="0.35">
      <c r="A1" s="42" t="s">
        <v>55</v>
      </c>
      <c r="B1" s="41" t="s">
        <v>172</v>
      </c>
    </row>
    <row r="2" spans="1:22" customFormat="1" ht="12.75" x14ac:dyDescent="0.2"/>
    <row r="3" spans="1:22" s="2" customFormat="1" x14ac:dyDescent="0.25">
      <c r="B3" s="1"/>
    </row>
    <row r="4" spans="1:22" s="2" customFormat="1" x14ac:dyDescent="0.25">
      <c r="B4" s="1" t="s">
        <v>149</v>
      </c>
    </row>
    <row r="5" spans="1:22" ht="18.75" x14ac:dyDescent="0.3">
      <c r="A5" s="43" t="s">
        <v>52</v>
      </c>
      <c r="B5" s="50" t="s">
        <v>179</v>
      </c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</row>
    <row r="6" spans="1:22" ht="18.75" x14ac:dyDescent="0.3">
      <c r="A6" s="43" t="s">
        <v>151</v>
      </c>
      <c r="B6" s="2" t="s">
        <v>180</v>
      </c>
    </row>
    <row r="7" spans="1:22" ht="18.75" x14ac:dyDescent="0.3">
      <c r="A7" s="43"/>
      <c r="B7" s="40"/>
    </row>
    <row r="9" spans="1:22" ht="23.25" x14ac:dyDescent="0.35">
      <c r="A9" s="18" t="s">
        <v>163</v>
      </c>
      <c r="I9" s="2"/>
      <c r="J9" s="2"/>
    </row>
    <row r="10" spans="1:22" x14ac:dyDescent="0.25">
      <c r="A10" s="33" t="s">
        <v>101</v>
      </c>
      <c r="B10" s="17" t="s">
        <v>48</v>
      </c>
      <c r="C10" s="17" t="s">
        <v>49</v>
      </c>
      <c r="D10" s="17" t="s">
        <v>50</v>
      </c>
      <c r="E10" s="17" t="s">
        <v>51</v>
      </c>
      <c r="F10" s="17" t="s">
        <v>53</v>
      </c>
      <c r="I10" s="2"/>
      <c r="J10" s="2"/>
    </row>
    <row r="11" spans="1:22" x14ac:dyDescent="0.25">
      <c r="A11" s="9" t="s">
        <v>119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22" ht="23.25" x14ac:dyDescent="0.35">
      <c r="A14" s="18" t="s">
        <v>160</v>
      </c>
    </row>
    <row r="15" spans="1:22" x14ac:dyDescent="0.25">
      <c r="A15" s="14" t="s">
        <v>102</v>
      </c>
      <c r="B15" s="17" t="s">
        <v>48</v>
      </c>
      <c r="C15" s="15" t="s">
        <v>49</v>
      </c>
      <c r="D15" s="17" t="s">
        <v>50</v>
      </c>
      <c r="E15" s="15" t="s">
        <v>51</v>
      </c>
      <c r="F15" s="17" t="s">
        <v>53</v>
      </c>
    </row>
    <row r="16" spans="1:22" x14ac:dyDescent="0.25">
      <c r="A16" s="7" t="s">
        <v>119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120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121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122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123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124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125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126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127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128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129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130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131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132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133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134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135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136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137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138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139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140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141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142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143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144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145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146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147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148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110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111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112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113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114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115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116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117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118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mergeCells count="1">
    <mergeCell ref="B5:V5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opLeftCell="A3" zoomScaleNormal="100" workbookViewId="0">
      <selection activeCell="G18" sqref="G18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42" t="s">
        <v>84</v>
      </c>
      <c r="B1" s="41" t="s">
        <v>165</v>
      </c>
    </row>
    <row r="2" spans="1:4" ht="18.75" x14ac:dyDescent="0.3">
      <c r="B2" s="40" t="s">
        <v>164</v>
      </c>
    </row>
    <row r="5" spans="1:4" ht="15" x14ac:dyDescent="0.25">
      <c r="B5" s="1" t="s">
        <v>149</v>
      </c>
    </row>
    <row r="6" spans="1:4" ht="15" x14ac:dyDescent="0.25">
      <c r="A6" s="3" t="s">
        <v>52</v>
      </c>
      <c r="B6" s="51" t="s">
        <v>181</v>
      </c>
    </row>
    <row r="7" spans="1:4" ht="15" x14ac:dyDescent="0.25">
      <c r="A7" s="3" t="s">
        <v>151</v>
      </c>
      <c r="B7" s="1" t="s">
        <v>182</v>
      </c>
    </row>
    <row r="10" spans="1:4" ht="23.25" x14ac:dyDescent="0.35">
      <c r="A10" s="18" t="s">
        <v>160</v>
      </c>
    </row>
    <row r="11" spans="1:4" ht="15" x14ac:dyDescent="0.25">
      <c r="A11" s="32" t="s">
        <v>85</v>
      </c>
      <c r="B11" s="17" t="s">
        <v>86</v>
      </c>
      <c r="C11" s="17" t="s">
        <v>87</v>
      </c>
      <c r="D11" s="25"/>
    </row>
    <row r="12" spans="1:4" ht="15" x14ac:dyDescent="0.25">
      <c r="A12" s="32">
        <v>44927</v>
      </c>
      <c r="B12" s="17" t="s">
        <v>58</v>
      </c>
      <c r="C12" s="17">
        <v>200</v>
      </c>
      <c r="D12" s="17">
        <f>IFERROR(C12:C21,20)</f>
        <v>200</v>
      </c>
    </row>
    <row r="13" spans="1:4" ht="15" x14ac:dyDescent="0.25">
      <c r="A13" s="32">
        <v>44928</v>
      </c>
      <c r="B13" s="17" t="s">
        <v>59</v>
      </c>
      <c r="C13" s="17" t="e">
        <v>#N/A</v>
      </c>
      <c r="D13" s="17">
        <f>IFERROR(C13:C22,20)</f>
        <v>20</v>
      </c>
    </row>
    <row r="14" spans="1:4" ht="15" x14ac:dyDescent="0.25">
      <c r="A14" s="32">
        <v>44929</v>
      </c>
      <c r="B14" s="17" t="s">
        <v>60</v>
      </c>
      <c r="C14" s="17">
        <v>50</v>
      </c>
      <c r="D14" s="17">
        <f>IFERROR(C14:C23,20)</f>
        <v>50</v>
      </c>
    </row>
    <row r="15" spans="1:4" ht="15" x14ac:dyDescent="0.25">
      <c r="A15" s="32">
        <v>44930</v>
      </c>
      <c r="B15" s="17" t="s">
        <v>61</v>
      </c>
      <c r="C15" s="17" t="e">
        <v>#N/A</v>
      </c>
      <c r="D15" s="17">
        <f>IFERROR(C15:C24,20)</f>
        <v>20</v>
      </c>
    </row>
    <row r="16" spans="1:4" ht="15" x14ac:dyDescent="0.25">
      <c r="A16" s="32">
        <v>44931</v>
      </c>
      <c r="B16" s="17" t="s">
        <v>62</v>
      </c>
      <c r="C16" s="17">
        <v>10</v>
      </c>
      <c r="D16" s="17">
        <f>IFERROR(C16:C25,20)</f>
        <v>10</v>
      </c>
    </row>
    <row r="17" spans="1:4" ht="15" x14ac:dyDescent="0.25">
      <c r="A17" s="32">
        <v>44932</v>
      </c>
      <c r="B17" s="17" t="s">
        <v>152</v>
      </c>
      <c r="C17" s="17">
        <v>150</v>
      </c>
      <c r="D17" s="17">
        <f>IFERROR(C17:C26,20)</f>
        <v>150</v>
      </c>
    </row>
    <row r="18" spans="1:4" ht="15" x14ac:dyDescent="0.25">
      <c r="A18" s="32">
        <v>44933</v>
      </c>
      <c r="B18" s="17" t="s">
        <v>153</v>
      </c>
      <c r="C18" s="17">
        <v>80</v>
      </c>
      <c r="D18" s="17">
        <f>IFERROR(C18:C27,20)</f>
        <v>80</v>
      </c>
    </row>
    <row r="19" spans="1:4" ht="15" x14ac:dyDescent="0.25">
      <c r="A19" s="32">
        <v>44934</v>
      </c>
      <c r="B19" s="17" t="s">
        <v>154</v>
      </c>
      <c r="C19" s="17" t="e">
        <v>#N/A</v>
      </c>
      <c r="D19" s="17">
        <f>IFERROR(C19:C28,20)</f>
        <v>20</v>
      </c>
    </row>
    <row r="20" spans="1:4" ht="15" x14ac:dyDescent="0.25">
      <c r="A20" s="32">
        <v>44935</v>
      </c>
      <c r="B20" s="17" t="s">
        <v>155</v>
      </c>
      <c r="C20" s="17">
        <v>30</v>
      </c>
      <c r="D20" s="17">
        <f>IFERROR(C20:C29,20)</f>
        <v>30</v>
      </c>
    </row>
    <row r="21" spans="1:4" ht="15" x14ac:dyDescent="0.25">
      <c r="A21" s="32">
        <v>44936</v>
      </c>
      <c r="B21" s="17" t="s">
        <v>156</v>
      </c>
      <c r="C21" s="17" t="e">
        <v>#N/A</v>
      </c>
      <c r="D21" s="17">
        <f>IFERROR(C21:C30,20)</f>
        <v>20</v>
      </c>
    </row>
    <row r="22" spans="1:4" ht="15" x14ac:dyDescent="0.25">
      <c r="B22" s="17" t="s">
        <v>157</v>
      </c>
      <c r="C22" s="25"/>
      <c r="D22" s="17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28" zoomScaleNormal="100" workbookViewId="0">
      <selection activeCell="F34" sqref="F34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97</v>
      </c>
      <c r="B1" s="41" t="s">
        <v>173</v>
      </c>
    </row>
    <row r="3" spans="1:14" ht="15" x14ac:dyDescent="0.25">
      <c r="B3" s="1" t="s">
        <v>149</v>
      </c>
    </row>
    <row r="4" spans="1:14" ht="18.75" x14ac:dyDescent="0.3">
      <c r="A4" s="43" t="s">
        <v>52</v>
      </c>
      <c r="B4" s="1"/>
      <c r="C4" s="2" t="s">
        <v>184</v>
      </c>
    </row>
    <row r="5" spans="1:14" ht="18.75" x14ac:dyDescent="0.3">
      <c r="A5" s="43" t="s">
        <v>151</v>
      </c>
      <c r="B5" s="2" t="s">
        <v>185</v>
      </c>
    </row>
    <row r="6" spans="1:14" ht="15" x14ac:dyDescent="0.25">
      <c r="A6" s="3"/>
      <c r="B6" s="1"/>
    </row>
    <row r="8" spans="1:14" ht="23.25" x14ac:dyDescent="0.35">
      <c r="A8" s="18" t="s">
        <v>160</v>
      </c>
      <c r="M8" s="18" t="s">
        <v>161</v>
      </c>
    </row>
    <row r="9" spans="1:14" ht="15" x14ac:dyDescent="0.25">
      <c r="A9" s="26"/>
      <c r="B9" s="26" t="s">
        <v>88</v>
      </c>
      <c r="C9" s="26" t="s">
        <v>89</v>
      </c>
      <c r="D9" s="26" t="s">
        <v>90</v>
      </c>
      <c r="E9" s="26" t="s">
        <v>91</v>
      </c>
      <c r="F9" s="26" t="s">
        <v>92</v>
      </c>
      <c r="G9" s="26" t="s">
        <v>93</v>
      </c>
      <c r="H9" s="26" t="s">
        <v>94</v>
      </c>
      <c r="I9" s="26" t="s">
        <v>95</v>
      </c>
      <c r="J9" s="26" t="s">
        <v>96</v>
      </c>
      <c r="M9" s="19" t="s">
        <v>43</v>
      </c>
      <c r="N9" s="19" t="s">
        <v>98</v>
      </c>
    </row>
    <row r="10" spans="1:14" ht="15" x14ac:dyDescent="0.25">
      <c r="A10" s="26" t="s">
        <v>88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88</v>
      </c>
    </row>
    <row r="11" spans="1:14" ht="15" x14ac:dyDescent="0.25">
      <c r="A11" s="26" t="s">
        <v>89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89</v>
      </c>
    </row>
    <row r="12" spans="1:14" ht="15" x14ac:dyDescent="0.25">
      <c r="A12" s="26" t="s">
        <v>90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90</v>
      </c>
    </row>
    <row r="13" spans="1:14" ht="15" x14ac:dyDescent="0.25">
      <c r="A13" s="26" t="s">
        <v>91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91</v>
      </c>
    </row>
    <row r="14" spans="1:14" ht="15" x14ac:dyDescent="0.25">
      <c r="A14" s="26" t="s">
        <v>92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92</v>
      </c>
    </row>
    <row r="15" spans="1:14" ht="15" x14ac:dyDescent="0.25">
      <c r="A15" s="26" t="s">
        <v>93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93</v>
      </c>
    </row>
    <row r="16" spans="1:14" ht="15" x14ac:dyDescent="0.25">
      <c r="A16" s="26" t="s">
        <v>94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94</v>
      </c>
    </row>
    <row r="17" spans="1:14" ht="15" x14ac:dyDescent="0.25">
      <c r="A17" s="26" t="s">
        <v>95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95</v>
      </c>
    </row>
    <row r="18" spans="1:14" ht="15" x14ac:dyDescent="0.25">
      <c r="A18" s="26" t="s">
        <v>96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96</v>
      </c>
    </row>
    <row r="21" spans="1:14" ht="23.25" x14ac:dyDescent="0.35">
      <c r="A21" s="18" t="s">
        <v>166</v>
      </c>
    </row>
    <row r="22" spans="1:14" ht="15" x14ac:dyDescent="0.25">
      <c r="A22" s="14" t="s">
        <v>99</v>
      </c>
      <c r="B22" s="17" t="s">
        <v>100</v>
      </c>
      <c r="C22" s="16" t="s">
        <v>101</v>
      </c>
    </row>
    <row r="23" spans="1:14" ht="15" x14ac:dyDescent="0.25">
      <c r="A23" s="7">
        <v>10100</v>
      </c>
      <c r="B23" s="12">
        <v>10102</v>
      </c>
      <c r="C23" s="44" t="str">
        <f>INDEX($A$9:$J$18,MATCH($A$23,$M$10:$M$18,0),MATCH($B$23,$M$10:$M$18,0))</f>
        <v>A</v>
      </c>
    </row>
    <row r="24" spans="1:14" ht="15" x14ac:dyDescent="0.25">
      <c r="A24" s="7">
        <v>10100</v>
      </c>
      <c r="B24" s="12">
        <v>10104</v>
      </c>
      <c r="C24" s="44" t="str">
        <f t="shared" ref="C24:C35" si="0">INDEX($A$9:$J$18,MATCH($A$23:$A$35,$M$10:$M$18,0),MATCH($B$23:$B$35,$M$10:$M$18,0))</f>
        <v>B</v>
      </c>
      <c r="E24" s="48"/>
    </row>
    <row r="25" spans="1:14" ht="15" x14ac:dyDescent="0.25">
      <c r="A25" s="7">
        <v>10108</v>
      </c>
      <c r="B25" s="12">
        <v>10102</v>
      </c>
      <c r="C25" s="44">
        <f t="shared" si="0"/>
        <v>185</v>
      </c>
    </row>
    <row r="26" spans="1:14" ht="15" x14ac:dyDescent="0.25">
      <c r="A26" s="7">
        <v>10100</v>
      </c>
      <c r="B26" s="12">
        <v>10106</v>
      </c>
      <c r="C26" s="44" t="str">
        <f t="shared" si="0"/>
        <v>C</v>
      </c>
    </row>
    <row r="27" spans="1:14" ht="15" x14ac:dyDescent="0.25">
      <c r="A27" s="7">
        <v>10108</v>
      </c>
      <c r="B27" s="12">
        <v>10110</v>
      </c>
      <c r="C27" s="44">
        <f t="shared" si="0"/>
        <v>70</v>
      </c>
    </row>
    <row r="28" spans="1:14" ht="15" x14ac:dyDescent="0.25">
      <c r="A28" s="7">
        <v>10102</v>
      </c>
      <c r="B28" s="12">
        <v>10104</v>
      </c>
      <c r="C28" s="44">
        <f t="shared" si="0"/>
        <v>95</v>
      </c>
    </row>
    <row r="29" spans="1:14" ht="15" x14ac:dyDescent="0.25">
      <c r="A29" s="7">
        <v>10106</v>
      </c>
      <c r="B29" s="12">
        <v>10108</v>
      </c>
      <c r="C29" s="44">
        <f t="shared" si="0"/>
        <v>60</v>
      </c>
      <c r="G29" s="2" t="s">
        <v>183</v>
      </c>
    </row>
    <row r="30" spans="1:14" ht="15" x14ac:dyDescent="0.25">
      <c r="A30" s="7">
        <v>10102</v>
      </c>
      <c r="B30" s="12">
        <v>10106</v>
      </c>
      <c r="C30" s="44">
        <f t="shared" si="0"/>
        <v>-1</v>
      </c>
    </row>
    <row r="31" spans="1:14" ht="15" x14ac:dyDescent="0.25">
      <c r="A31" s="7">
        <v>10110</v>
      </c>
      <c r="B31" s="12">
        <v>10114</v>
      </c>
      <c r="C31" s="44">
        <f t="shared" si="0"/>
        <v>165</v>
      </c>
    </row>
    <row r="32" spans="1:14" ht="15" x14ac:dyDescent="0.25">
      <c r="A32" s="7">
        <v>10104</v>
      </c>
      <c r="B32" s="12">
        <v>10106</v>
      </c>
      <c r="C32" s="44">
        <f t="shared" si="0"/>
        <v>-1</v>
      </c>
    </row>
    <row r="33" spans="1:3" ht="15" x14ac:dyDescent="0.25">
      <c r="A33" s="7">
        <v>10110</v>
      </c>
      <c r="B33" s="12">
        <v>10112</v>
      </c>
      <c r="C33" s="44">
        <f t="shared" si="0"/>
        <v>50</v>
      </c>
    </row>
    <row r="34" spans="1:3" ht="15" x14ac:dyDescent="0.25">
      <c r="A34" s="7">
        <v>10100</v>
      </c>
      <c r="B34" s="12">
        <v>10114</v>
      </c>
      <c r="C34" s="44" t="str">
        <f t="shared" si="0"/>
        <v>G</v>
      </c>
    </row>
    <row r="35" spans="1:3" ht="15" x14ac:dyDescent="0.25">
      <c r="A35" s="9">
        <v>10112</v>
      </c>
      <c r="B35" s="13">
        <v>10116</v>
      </c>
      <c r="C35" s="44">
        <f t="shared" si="0"/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Task_2</vt:lpstr>
      <vt:lpstr>Task_1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2024-10-22T08:45:24Z</dcterms:modified>
</cp:coreProperties>
</file>